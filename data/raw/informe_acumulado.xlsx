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2026 todo\OCTUBRE\10 OCTUBRE\"/>
    </mc:Choice>
  </mc:AlternateContent>
  <xr:revisionPtr revIDLastSave="0" documentId="8_{D0B82457-2299-4194-A362-7E5B58E9A7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7" i="1" l="1"/>
  <c r="E386" i="1"/>
  <c r="D386" i="1"/>
  <c r="D429" i="1"/>
  <c r="G403" i="1"/>
  <c r="D405" i="1"/>
  <c r="D397" i="1"/>
  <c r="D413" i="1" l="1"/>
  <c r="D421" i="1" l="1"/>
  <c r="G425" i="1" s="1"/>
  <c r="D431" i="1" l="1"/>
  <c r="D10" i="1" s="1"/>
  <c r="D9" i="1"/>
  <c r="D8" i="1" l="1"/>
</calcChain>
</file>

<file path=xl/sharedStrings.xml><?xml version="1.0" encoding="utf-8"?>
<sst xmlns="http://schemas.openxmlformats.org/spreadsheetml/2006/main" count="427" uniqueCount="243">
  <si>
    <t>CARAVANAS ITINERANTES POR LA JUSTICIA SOCIAL</t>
  </si>
  <si>
    <t>Inicio del Programa: 31 de enero de 2024</t>
  </si>
  <si>
    <t>Beneficiarios atendidos:</t>
  </si>
  <si>
    <r>
      <rPr>
        <sz val="9"/>
        <rFont val="Carlito"/>
        <family val="2"/>
      </rPr>
      <t>Tepetlixpa</t>
    </r>
  </si>
  <si>
    <r>
      <rPr>
        <sz val="9"/>
        <rFont val="Carlito"/>
        <family val="2"/>
      </rPr>
      <t>Ocuilan</t>
    </r>
  </si>
  <si>
    <r>
      <rPr>
        <sz val="9"/>
        <rFont val="Carlito"/>
        <family val="2"/>
      </rPr>
      <t>Malinalco</t>
    </r>
  </si>
  <si>
    <r>
      <rPr>
        <sz val="9"/>
        <rFont val="Carlito"/>
        <family val="2"/>
      </rPr>
      <t>Ozumba</t>
    </r>
  </si>
  <si>
    <r>
      <rPr>
        <sz val="9"/>
        <rFont val="Carlito"/>
        <family val="2"/>
      </rPr>
      <t>Tenango del Aire</t>
    </r>
  </si>
  <si>
    <r>
      <rPr>
        <sz val="9"/>
        <rFont val="Carlito"/>
        <family val="2"/>
      </rPr>
      <t>Texcaltitlán</t>
    </r>
  </si>
  <si>
    <r>
      <rPr>
        <sz val="9"/>
        <rFont val="Carlito"/>
        <family val="2"/>
      </rPr>
      <t>Cocotitlán</t>
    </r>
  </si>
  <si>
    <r>
      <rPr>
        <sz val="9"/>
        <rFont val="Carlito"/>
        <family val="2"/>
      </rPr>
      <t>Almoloya de Alquisiras</t>
    </r>
  </si>
  <si>
    <r>
      <rPr>
        <sz val="9"/>
        <rFont val="Carlito"/>
        <family val="2"/>
      </rPr>
      <t>Acambay</t>
    </r>
  </si>
  <si>
    <r>
      <rPr>
        <sz val="9"/>
        <rFont val="Carlito"/>
        <family val="2"/>
      </rPr>
      <t>Acolman</t>
    </r>
  </si>
  <si>
    <r>
      <rPr>
        <sz val="9"/>
        <rFont val="Carlito"/>
        <family val="2"/>
      </rPr>
      <t>Aculco</t>
    </r>
  </si>
  <si>
    <r>
      <rPr>
        <sz val="9"/>
        <rFont val="Carlito"/>
        <family val="2"/>
      </rPr>
      <t>San Martín de las Pirámides</t>
    </r>
  </si>
  <si>
    <r>
      <rPr>
        <sz val="9"/>
        <rFont val="Carlito"/>
        <family val="2"/>
      </rPr>
      <t>Almoloya del Río</t>
    </r>
  </si>
  <si>
    <r>
      <rPr>
        <sz val="9"/>
        <rFont val="Carlito"/>
        <family val="2"/>
      </rPr>
      <t>Jaltenco</t>
    </r>
  </si>
  <si>
    <r>
      <rPr>
        <sz val="9"/>
        <rFont val="Carlito"/>
        <family val="2"/>
      </rPr>
      <t>Capulhuac</t>
    </r>
  </si>
  <si>
    <r>
      <rPr>
        <sz val="9"/>
        <rFont val="Carlito"/>
        <family val="2"/>
      </rPr>
      <t>Teoloyucan</t>
    </r>
  </si>
  <si>
    <r>
      <rPr>
        <sz val="9"/>
        <rFont val="Carlito"/>
        <family val="2"/>
      </rPr>
      <t>Valle de Bravo</t>
    </r>
  </si>
  <si>
    <r>
      <rPr>
        <sz val="9"/>
        <rFont val="Carlito"/>
        <family val="2"/>
      </rPr>
      <t>Ixtapan del Oro</t>
    </r>
  </si>
  <si>
    <r>
      <rPr>
        <sz val="9"/>
        <rFont val="Carlito"/>
        <family val="2"/>
      </rPr>
      <t>Temascaltepec</t>
    </r>
  </si>
  <si>
    <r>
      <rPr>
        <sz val="9"/>
        <rFont val="Carlito"/>
        <family val="2"/>
      </rPr>
      <t>Coyotepec</t>
    </r>
  </si>
  <si>
    <r>
      <rPr>
        <sz val="9"/>
        <rFont val="Carlito"/>
        <family val="2"/>
      </rPr>
      <t>Santo Tomás de los Plátanos</t>
    </r>
  </si>
  <si>
    <r>
      <rPr>
        <sz val="9"/>
        <rFont val="Carlito"/>
        <family val="2"/>
      </rPr>
      <t>Valle de Chalco</t>
    </r>
  </si>
  <si>
    <r>
      <rPr>
        <sz val="9"/>
        <rFont val="Carlito"/>
        <family val="2"/>
      </rPr>
      <t>Ixtapan de la Sal</t>
    </r>
  </si>
  <si>
    <r>
      <rPr>
        <sz val="9"/>
        <rFont val="Carlito"/>
        <family val="2"/>
      </rPr>
      <t>Ixtapaluca</t>
    </r>
  </si>
  <si>
    <r>
      <rPr>
        <sz val="9"/>
        <rFont val="Carlito"/>
        <family val="2"/>
      </rPr>
      <t>Tonatico</t>
    </r>
  </si>
  <si>
    <r>
      <rPr>
        <sz val="9"/>
        <rFont val="Carlito"/>
        <family val="2"/>
      </rPr>
      <t>Tenango del Valle</t>
    </r>
  </si>
  <si>
    <r>
      <rPr>
        <sz val="9"/>
        <rFont val="Carlito"/>
        <family val="2"/>
      </rPr>
      <t>La Paz</t>
    </r>
  </si>
  <si>
    <r>
      <rPr>
        <sz val="9"/>
        <rFont val="Carlito"/>
        <family val="2"/>
      </rPr>
      <t>Xalatlaco</t>
    </r>
  </si>
  <si>
    <r>
      <rPr>
        <sz val="9"/>
        <rFont val="Carlito"/>
        <family val="2"/>
      </rPr>
      <t>Nezahualcóyotl</t>
    </r>
  </si>
  <si>
    <r>
      <rPr>
        <sz val="9"/>
        <rFont val="Carlito"/>
        <family val="2"/>
      </rPr>
      <t>Calimaya</t>
    </r>
  </si>
  <si>
    <r>
      <rPr>
        <sz val="9"/>
        <rFont val="Carlito"/>
        <family val="2"/>
      </rPr>
      <t>Chimalhuacán</t>
    </r>
  </si>
  <si>
    <r>
      <rPr>
        <sz val="9"/>
        <rFont val="Carlito"/>
        <family val="2"/>
      </rPr>
      <t>Temoaya</t>
    </r>
  </si>
  <si>
    <r>
      <rPr>
        <sz val="9"/>
        <rFont val="Carlito"/>
        <family val="2"/>
      </rPr>
      <t>Texcoco</t>
    </r>
  </si>
  <si>
    <r>
      <rPr>
        <sz val="9"/>
        <rFont val="Carlito"/>
        <family val="2"/>
      </rPr>
      <t>Chalco</t>
    </r>
  </si>
  <si>
    <r>
      <rPr>
        <sz val="9"/>
        <rFont val="Carlito"/>
        <family val="2"/>
      </rPr>
      <t>Tlatlaya</t>
    </r>
  </si>
  <si>
    <r>
      <rPr>
        <sz val="9"/>
        <rFont val="Carlito"/>
        <family val="2"/>
      </rPr>
      <t>Amatepec</t>
    </r>
  </si>
  <si>
    <r>
      <rPr>
        <sz val="9"/>
        <rFont val="Carlito"/>
        <family val="2"/>
      </rPr>
      <t>Otumba</t>
    </r>
  </si>
  <si>
    <r>
      <rPr>
        <sz val="9"/>
        <rFont val="Carlito"/>
        <family val="2"/>
      </rPr>
      <t>Tecamac</t>
    </r>
  </si>
  <si>
    <r>
      <rPr>
        <sz val="9"/>
        <rFont val="Carlito"/>
        <family val="2"/>
      </rPr>
      <t>Metepec</t>
    </r>
  </si>
  <si>
    <r>
      <rPr>
        <sz val="9"/>
        <rFont val="Carlito"/>
        <family val="2"/>
      </rPr>
      <t>San Antonio la Isla</t>
    </r>
  </si>
  <si>
    <r>
      <rPr>
        <sz val="9"/>
        <rFont val="Carlito"/>
        <family val="2"/>
      </rPr>
      <t>Ecatepec</t>
    </r>
  </si>
  <si>
    <r>
      <rPr>
        <sz val="9"/>
        <rFont val="Carlito"/>
        <family val="2"/>
      </rPr>
      <t>Toluca</t>
    </r>
  </si>
  <si>
    <r>
      <rPr>
        <sz val="9"/>
        <rFont val="Carlito"/>
        <family val="2"/>
      </rPr>
      <t>Tlalnepantla</t>
    </r>
  </si>
  <si>
    <t xml:space="preserve">Total de trámites realizados </t>
  </si>
  <si>
    <t xml:space="preserve">CONSEJERÍA JURÍDICA </t>
  </si>
  <si>
    <t>DGJCyPC</t>
  </si>
  <si>
    <r>
      <rPr>
        <b/>
        <sz val="11"/>
        <color rgb="FFFFFFFF"/>
        <rFont val="Carlito"/>
        <family val="2"/>
      </rPr>
      <t>Nc.</t>
    </r>
  </si>
  <si>
    <r>
      <rPr>
        <b/>
        <sz val="11"/>
        <color rgb="FFFFFFFF"/>
        <rFont val="Carlito"/>
        <family val="2"/>
      </rPr>
      <t>Municipio</t>
    </r>
  </si>
  <si>
    <r>
      <rPr>
        <b/>
        <sz val="11"/>
        <color rgb="FFFFFFFF"/>
        <rFont val="Carlito"/>
        <family val="2"/>
      </rPr>
      <t>Trámites realizados</t>
    </r>
  </si>
  <si>
    <t>Donato Guerra</t>
  </si>
  <si>
    <t>Coacalco</t>
  </si>
  <si>
    <t>*</t>
  </si>
  <si>
    <t>**</t>
  </si>
  <si>
    <r>
      <t>*</t>
    </r>
    <r>
      <rPr>
        <sz val="8"/>
        <rFont val="Carlito"/>
      </rPr>
      <t>Soporte en siguiente hoja</t>
    </r>
  </si>
  <si>
    <t>PERSONAS BENEFICIADAS EN CARAVANAS</t>
  </si>
  <si>
    <t>Amanalco de Becerra</t>
  </si>
  <si>
    <t>San Martín de las Pirámides</t>
  </si>
  <si>
    <t>Ixtlahuaca</t>
  </si>
  <si>
    <t>Zumpango</t>
  </si>
  <si>
    <t>Xonacatlán</t>
  </si>
  <si>
    <t>Chapultepec</t>
  </si>
  <si>
    <t>Hueypoxtla</t>
  </si>
  <si>
    <t>Malinalco</t>
  </si>
  <si>
    <t>Apaxco</t>
  </si>
  <si>
    <t>Chalco</t>
  </si>
  <si>
    <t>Huhuetoca</t>
  </si>
  <si>
    <t>Villa del Carbón</t>
  </si>
  <si>
    <t>Tepotzotlán</t>
  </si>
  <si>
    <t>Atlacomulco</t>
  </si>
  <si>
    <t>Morelos</t>
  </si>
  <si>
    <t>Cuautitlán México</t>
  </si>
  <si>
    <t>Temascalcingo</t>
  </si>
  <si>
    <t>El Oro</t>
  </si>
  <si>
    <t>Jilotepec</t>
  </si>
  <si>
    <t>Tultepec.</t>
  </si>
  <si>
    <t>Soyaniquilpan</t>
  </si>
  <si>
    <t>Zinacantepec</t>
  </si>
  <si>
    <t>Nicolas Romero</t>
  </si>
  <si>
    <t>Cuautitlán Izcalli</t>
  </si>
  <si>
    <t>Atizapán de Zaragoza</t>
  </si>
  <si>
    <t>Naucalpan</t>
  </si>
  <si>
    <t>Atenco</t>
  </si>
  <si>
    <t>Otzolotepec</t>
  </si>
  <si>
    <t>Tezoyuca</t>
  </si>
  <si>
    <t>Isidro Fabela</t>
  </si>
  <si>
    <t>Jiquipilco</t>
  </si>
  <si>
    <t>Teotihuacán</t>
  </si>
  <si>
    <t>Amecameca</t>
  </si>
  <si>
    <t>San Felipe del Progreso</t>
  </si>
  <si>
    <t>Villa de Allende</t>
  </si>
  <si>
    <t>Ayapango</t>
  </si>
  <si>
    <t>Tultitlán</t>
  </si>
  <si>
    <t>Polotitlán</t>
  </si>
  <si>
    <t>Timilpan</t>
  </si>
  <si>
    <t>Juchitepec</t>
  </si>
  <si>
    <t>Jocotitlán.</t>
  </si>
  <si>
    <t>Cuautitlán Izcalli.</t>
  </si>
  <si>
    <t>Papalotla.</t>
  </si>
  <si>
    <t>Tepetlaoxtoc</t>
  </si>
  <si>
    <t>Villa Victoria</t>
  </si>
  <si>
    <t>Chiconcuac</t>
  </si>
  <si>
    <t>Chicoloapan</t>
  </si>
  <si>
    <t>Almoloya de Juarez</t>
  </si>
  <si>
    <t>Ecatzingo</t>
  </si>
  <si>
    <t>Coatepec Harinas</t>
  </si>
  <si>
    <t>Atlautla</t>
  </si>
  <si>
    <t>Temamatla</t>
  </si>
  <si>
    <t>Villa guerrero</t>
  </si>
  <si>
    <t>***</t>
  </si>
  <si>
    <t>INFORME GENERAL DEL BENEFICIO Y AHORRO ECONÓMICO</t>
  </si>
  <si>
    <t>EN TRÁMITES Y SERVICIOS DE REGISTRO CIVIL, NOTARIALES, TRANSPORTE Y ALIMENTOS</t>
  </si>
  <si>
    <t>Ahorro del 31 de enero al 29 de febrero 2024</t>
  </si>
  <si>
    <t>Ahorro del 19 de junio al 19 de diciembre 2024:</t>
  </si>
  <si>
    <t xml:space="preserve">Ahorro en alimentos al 19 de diciembre 2024: </t>
  </si>
  <si>
    <t xml:space="preserve">Ahorro en transporte al 19 de diciembre 2024: </t>
  </si>
  <si>
    <t>Ahorro acumulado del 31 de enero al 19 de diciembre 2024:</t>
  </si>
  <si>
    <t>total</t>
  </si>
  <si>
    <t xml:space="preserve">Ahorro económico a beneficiarios </t>
  </si>
  <si>
    <t>Chiautla</t>
  </si>
  <si>
    <t>Tenancingo</t>
  </si>
  <si>
    <t>Nextlalpan</t>
  </si>
  <si>
    <t>Ocoyoacac</t>
  </si>
  <si>
    <t>San Mateo Atenco</t>
  </si>
  <si>
    <t>Ecatepec</t>
  </si>
  <si>
    <t>Santiago Tianguistenco</t>
  </si>
  <si>
    <t>Atizapán</t>
  </si>
  <si>
    <t>Lerma</t>
  </si>
  <si>
    <t>Mexicaltzingo</t>
  </si>
  <si>
    <t>Rayón</t>
  </si>
  <si>
    <t>Jilotzingo</t>
  </si>
  <si>
    <t>Texcalyacac</t>
  </si>
  <si>
    <t>Tequixquiac</t>
  </si>
  <si>
    <t>Temascalapa</t>
  </si>
  <si>
    <t>Zumpahuacan</t>
  </si>
  <si>
    <t>Axapusco</t>
  </si>
  <si>
    <t>Zacualpan</t>
  </si>
  <si>
    <t>Tonanitla</t>
  </si>
  <si>
    <t>Sultepec</t>
  </si>
  <si>
    <t>Nopaltepec</t>
  </si>
  <si>
    <t>Tejupilco</t>
  </si>
  <si>
    <t>Melchor Ocampo</t>
  </si>
  <si>
    <t>Luvianos</t>
  </si>
  <si>
    <t>Otzoloapan</t>
  </si>
  <si>
    <t>Zacazonapan</t>
  </si>
  <si>
    <t>San Simon de Guerrero</t>
  </si>
  <si>
    <t>Tlalmanalco</t>
  </si>
  <si>
    <t>Tlalnepantla</t>
  </si>
  <si>
    <t>Texcaltitlan</t>
  </si>
  <si>
    <t>Almoloya de Alquisiras</t>
  </si>
  <si>
    <t>Ixtapan de la Sal</t>
  </si>
  <si>
    <t>Tonatico</t>
  </si>
  <si>
    <t>San Jose del Rincón</t>
  </si>
  <si>
    <t>La Paz</t>
  </si>
  <si>
    <t>Tenango del Valle</t>
  </si>
  <si>
    <t>Nezahualcóyotl</t>
  </si>
  <si>
    <t>Chapa de Mota</t>
  </si>
  <si>
    <t>Almoloya del Río</t>
  </si>
  <si>
    <t>Chimalhuacan</t>
  </si>
  <si>
    <t>Xalatlaco</t>
  </si>
  <si>
    <t>Texcoco</t>
  </si>
  <si>
    <t>San Antonio la Isla.</t>
  </si>
  <si>
    <t>Acolman</t>
  </si>
  <si>
    <t>Tepetlixpa</t>
  </si>
  <si>
    <t>Tultepec</t>
  </si>
  <si>
    <t>Tlatlaya</t>
  </si>
  <si>
    <t>Amatepec</t>
  </si>
  <si>
    <t xml:space="preserve">Temoaya </t>
  </si>
  <si>
    <t>Tepotzotlan</t>
  </si>
  <si>
    <t>Cocotitlán</t>
  </si>
  <si>
    <t>Otumba</t>
  </si>
  <si>
    <t>Teotihuacan</t>
  </si>
  <si>
    <t>Acambay</t>
  </si>
  <si>
    <t>Aculco</t>
  </si>
  <si>
    <t>Jaltenco</t>
  </si>
  <si>
    <t>Ixtapan del Oro</t>
  </si>
  <si>
    <t>Valle de Chalco</t>
  </si>
  <si>
    <t>Coyotepec</t>
  </si>
  <si>
    <t>Huehuetoca</t>
  </si>
  <si>
    <t>Amanalco</t>
  </si>
  <si>
    <t>Temascaltepec</t>
  </si>
  <si>
    <t>San Martín de las Piramides</t>
  </si>
  <si>
    <t>Villa Guerrero</t>
  </si>
  <si>
    <t>Joquicingo</t>
  </si>
  <si>
    <t>Santa Cruz Atizapan</t>
  </si>
  <si>
    <t>Ocuilan</t>
  </si>
  <si>
    <t>Calimaya</t>
  </si>
  <si>
    <t>Capulhuac</t>
  </si>
  <si>
    <t>Xonacatlan</t>
  </si>
  <si>
    <t>Metepec</t>
  </si>
  <si>
    <t>Tecamac</t>
  </si>
  <si>
    <t>Toluca</t>
  </si>
  <si>
    <t>Ixtapaluca</t>
  </si>
  <si>
    <t>Atizapan</t>
  </si>
  <si>
    <t>Santo Tomas</t>
  </si>
  <si>
    <t>Huixquilucan</t>
  </si>
  <si>
    <t>Ozumba</t>
  </si>
  <si>
    <t>Tenango del Aire</t>
  </si>
  <si>
    <t>Valle de Bravo</t>
  </si>
  <si>
    <t>Almoloya</t>
  </si>
  <si>
    <t>Teoloyucan</t>
  </si>
  <si>
    <t>Polotitlan</t>
  </si>
  <si>
    <t>Ahorro del 15 de enero al 10 de diciembre 25:</t>
  </si>
  <si>
    <t xml:space="preserve">Ahorro en alimentos al 10 de diciembre 25: </t>
  </si>
  <si>
    <t xml:space="preserve">Ahorro en transporte al 10 de diciembre 25: </t>
  </si>
  <si>
    <t>Ahorro acumulado del 15 de enero al 10 de diciembre 25:</t>
  </si>
  <si>
    <t>Beneficiados del 31 de enero al 29 de febrero 24</t>
  </si>
  <si>
    <t>Beneficiados del 19 de junio al 19 de diciembre 24:</t>
  </si>
  <si>
    <t>Beneficiados del 15 de enero al 10 de diciembre 25:</t>
  </si>
  <si>
    <t xml:space="preserve">Tramites y servicios del 31 de enero al 29 de febrero 24 </t>
  </si>
  <si>
    <t>Tramites y servicios del 19 de Junio al 19 de diciembre 24:</t>
  </si>
  <si>
    <t xml:space="preserve">Tramites y servicios del 15 de enero al 10 de diciembre 25. </t>
  </si>
  <si>
    <t xml:space="preserve">Tenango del Valle </t>
  </si>
  <si>
    <t>Atizapan de Zaragoza</t>
  </si>
  <si>
    <t>sultepec</t>
  </si>
  <si>
    <t>Personas atendidas</t>
  </si>
  <si>
    <t>Nezahualcoyotl</t>
  </si>
  <si>
    <t>Temoaya</t>
  </si>
  <si>
    <t xml:space="preserve">Santo Tomas </t>
  </si>
  <si>
    <t xml:space="preserve">Villa de Allende </t>
  </si>
  <si>
    <t>Jocotitlán</t>
  </si>
  <si>
    <t xml:space="preserve">Tenango del Aire </t>
  </si>
  <si>
    <t xml:space="preserve">San Antonio la Isla </t>
  </si>
  <si>
    <t>Rayon</t>
  </si>
  <si>
    <t>San Jose del Rincon</t>
  </si>
  <si>
    <t>Papalotla</t>
  </si>
  <si>
    <t>Almoloya del Rio</t>
  </si>
  <si>
    <t>Tianguistenco</t>
  </si>
  <si>
    <t>Jajalpa Tenango</t>
  </si>
  <si>
    <t>San Martin de las Piramides</t>
  </si>
  <si>
    <t>Trámites y servicios proporcionados en 125 municipios con 373 caravanas:</t>
  </si>
  <si>
    <t>TRAMITES Y SERVICIOS PROPORCIONADOS EN 125 MUNICIPIOS CON 373 CARAVANAS</t>
  </si>
  <si>
    <t>Informe acumulado al 10 de octubre 2026</t>
  </si>
  <si>
    <t>Beneficiados del 24 de febrero al 10 de octubre 2026:</t>
  </si>
  <si>
    <t>Total de beneficiados del 31 de enero 2024 al 10 de oct 2026:</t>
  </si>
  <si>
    <t xml:space="preserve">Tramites y servicios del 24 de febrero al 10 de octubre 2026. </t>
  </si>
  <si>
    <t>Tramites y Servicios  del 31 de enero 2024 al 10 de oct 2026:</t>
  </si>
  <si>
    <t>Ahorro del 24 de febrero al 10 de octubre 2026:</t>
  </si>
  <si>
    <t xml:space="preserve">Ahorro en alimentos al 10 de octubre: </t>
  </si>
  <si>
    <t xml:space="preserve">Ahorro en transporte al 10 de octubre: </t>
  </si>
  <si>
    <t>Ahorro acumulado del 24 de febrero al 10 de oct 26: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</si>
</sst>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0."/>
    <numFmt numFmtId="165" formatCode="&quot;$&quot;#,##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name val="Carlito"/>
    </font>
    <font>
      <sz val="9"/>
      <color rgb="FF000000"/>
      <name val="Carlito"/>
      <family val="2"/>
    </font>
    <font>
      <sz val="9"/>
      <name val="Carlito"/>
    </font>
    <font>
      <b/>
      <sz val="9"/>
      <name val="Carlito"/>
      <family val="2"/>
    </font>
    <font>
      <sz val="9"/>
      <name val="Carlito"/>
      <family val="2"/>
    </font>
    <font>
      <sz val="10"/>
      <color rgb="FF000000"/>
      <name val="Times New Roman"/>
      <family val="1"/>
    </font>
    <font>
      <b/>
      <sz val="10"/>
      <name val="Carlito"/>
    </font>
    <font>
      <b/>
      <sz val="10"/>
      <color rgb="FFFFFFFF"/>
      <name val="Carlito"/>
      <family val="2"/>
    </font>
    <font>
      <sz val="10"/>
      <color theme="1"/>
      <name val="Calibri"/>
      <family val="2"/>
      <scheme val="minor"/>
    </font>
    <font>
      <b/>
      <sz val="10"/>
      <color rgb="FFC00000"/>
      <name val="Carlito"/>
    </font>
    <font>
      <b/>
      <sz val="10"/>
      <name val="Carlito"/>
      <family val="2"/>
    </font>
    <font>
      <b/>
      <sz val="10"/>
      <color rgb="FFC00000"/>
      <name val="Carlito"/>
      <family val="2"/>
    </font>
    <font>
      <b/>
      <sz val="11"/>
      <name val="Carlito"/>
    </font>
    <font>
      <b/>
      <sz val="11"/>
      <color rgb="FFFFFFFF"/>
      <name val="Carlito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name val="Carlito"/>
    </font>
    <font>
      <sz val="8"/>
      <name val="Carlito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99003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/>
  </cellStyleXfs>
  <cellXfs count="120">
    <xf numFmtId="0" fontId="0" fillId="0" borderId="0" xfId="0"/>
    <xf numFmtId="164" fontId="5" fillId="0" borderId="1" xfId="1" applyNumberFormat="1" applyFont="1" applyBorder="1" applyAlignment="1">
      <alignment horizontal="center" vertical="top" shrinkToFit="1"/>
    </xf>
    <xf numFmtId="0" fontId="6" fillId="0" borderId="1" xfId="1" applyFont="1" applyBorder="1" applyAlignment="1">
      <alignment horizontal="left" vertical="top" wrapText="1"/>
    </xf>
    <xf numFmtId="0" fontId="4" fillId="0" borderId="0" xfId="1" applyFont="1" applyAlignment="1">
      <alignment horizontal="center" vertical="top" wrapText="1"/>
    </xf>
    <xf numFmtId="0" fontId="9" fillId="0" borderId="0" xfId="1" applyFont="1" applyAlignment="1">
      <alignment horizontal="left" vertical="top"/>
    </xf>
    <xf numFmtId="164" fontId="5" fillId="0" borderId="2" xfId="1" applyNumberFormat="1" applyFont="1" applyBorder="1" applyAlignment="1">
      <alignment horizontal="center" vertical="top" shrinkToFit="1"/>
    </xf>
    <xf numFmtId="0" fontId="6" fillId="0" borderId="2" xfId="1" applyFont="1" applyBorder="1" applyAlignment="1">
      <alignment horizontal="left" vertical="top" wrapText="1"/>
    </xf>
    <xf numFmtId="3" fontId="7" fillId="0" borderId="0" xfId="1" applyNumberFormat="1" applyFont="1" applyAlignment="1">
      <alignment horizontal="center" vertical="top" shrinkToFit="1"/>
    </xf>
    <xf numFmtId="164" fontId="5" fillId="0" borderId="3" xfId="1" applyNumberFormat="1" applyFont="1" applyBorder="1" applyAlignment="1">
      <alignment horizontal="center" vertical="top" shrinkToFit="1"/>
    </xf>
    <xf numFmtId="0" fontId="6" fillId="0" borderId="3" xfId="1" applyFont="1" applyBorder="1" applyAlignment="1">
      <alignment horizontal="left" vertical="top" wrapText="1"/>
    </xf>
    <xf numFmtId="164" fontId="7" fillId="0" borderId="0" xfId="1" applyNumberFormat="1" applyFont="1" applyAlignment="1">
      <alignment horizontal="center" vertical="top" shrinkToFit="1"/>
    </xf>
    <xf numFmtId="0" fontId="12" fillId="0" borderId="0" xfId="0" applyFont="1"/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top" wrapText="1"/>
    </xf>
    <xf numFmtId="0" fontId="16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5" borderId="8" xfId="0" applyFill="1" applyBorder="1"/>
    <xf numFmtId="0" fontId="0" fillId="5" borderId="9" xfId="0" applyFill="1" applyBorder="1"/>
    <xf numFmtId="3" fontId="0" fillId="5" borderId="9" xfId="0" applyNumberFormat="1" applyFill="1" applyBorder="1"/>
    <xf numFmtId="0" fontId="0" fillId="5" borderId="10" xfId="0" applyFill="1" applyBorder="1"/>
    <xf numFmtId="0" fontId="0" fillId="5" borderId="11" xfId="0" applyFill="1" applyBorder="1"/>
    <xf numFmtId="165" fontId="10" fillId="0" borderId="0" xfId="1" applyNumberFormat="1" applyFont="1" applyAlignment="1">
      <alignment horizontal="right" vertical="top" wrapText="1"/>
    </xf>
    <xf numFmtId="0" fontId="20" fillId="0" borderId="0" xfId="1" applyFont="1" applyAlignment="1">
      <alignment horizontal="right" vertical="top" wrapText="1"/>
    </xf>
    <xf numFmtId="0" fontId="20" fillId="0" borderId="0" xfId="1" applyFont="1" applyAlignment="1">
      <alignment horizontal="left" wrapText="1"/>
    </xf>
    <xf numFmtId="0" fontId="0" fillId="6" borderId="8" xfId="0" applyFill="1" applyBorder="1"/>
    <xf numFmtId="0" fontId="0" fillId="6" borderId="0" xfId="0" applyFill="1"/>
    <xf numFmtId="0" fontId="0" fillId="6" borderId="9" xfId="0" applyFill="1" applyBorder="1"/>
    <xf numFmtId="3" fontId="0" fillId="6" borderId="9" xfId="0" applyNumberFormat="1" applyFill="1" applyBorder="1"/>
    <xf numFmtId="3" fontId="19" fillId="6" borderId="9" xfId="0" applyNumberFormat="1" applyFont="1" applyFill="1" applyBorder="1"/>
    <xf numFmtId="3" fontId="2" fillId="6" borderId="9" xfId="0" applyNumberFormat="1" applyFont="1" applyFill="1" applyBorder="1"/>
    <xf numFmtId="0" fontId="0" fillId="6" borderId="11" xfId="0" applyFill="1" applyBorder="1"/>
    <xf numFmtId="0" fontId="0" fillId="6" borderId="12" xfId="0" applyFill="1" applyBorder="1"/>
    <xf numFmtId="3" fontId="10" fillId="5" borderId="0" xfId="1" applyNumberFormat="1" applyFont="1" applyFill="1" applyAlignment="1">
      <alignment horizontal="right" vertical="top" wrapText="1"/>
    </xf>
    <xf numFmtId="0" fontId="22" fillId="6" borderId="7" xfId="0" applyFont="1" applyFill="1" applyBorder="1" applyAlignment="1">
      <alignment horizontal="center" vertical="center"/>
    </xf>
    <xf numFmtId="3" fontId="2" fillId="5" borderId="12" xfId="0" applyNumberFormat="1" applyFont="1" applyFill="1" applyBorder="1"/>
    <xf numFmtId="3" fontId="19" fillId="5" borderId="13" xfId="0" applyNumberFormat="1" applyFont="1" applyFill="1" applyBorder="1"/>
    <xf numFmtId="3" fontId="10" fillId="7" borderId="0" xfId="1" applyNumberFormat="1" applyFont="1" applyFill="1" applyAlignment="1">
      <alignment horizontal="right" vertical="top" wrapText="1"/>
    </xf>
    <xf numFmtId="0" fontId="22" fillId="7" borderId="7" xfId="0" applyFont="1" applyFill="1" applyBorder="1" applyAlignment="1">
      <alignment horizontal="center"/>
    </xf>
    <xf numFmtId="0" fontId="0" fillId="7" borderId="8" xfId="0" applyFill="1" applyBorder="1"/>
    <xf numFmtId="0" fontId="0" fillId="7" borderId="0" xfId="0" applyFill="1"/>
    <xf numFmtId="0" fontId="0" fillId="7" borderId="9" xfId="0" applyFill="1" applyBorder="1"/>
    <xf numFmtId="8" fontId="0" fillId="7" borderId="9" xfId="0" applyNumberFormat="1" applyFill="1" applyBorder="1"/>
    <xf numFmtId="8" fontId="19" fillId="7" borderId="9" xfId="0" applyNumberFormat="1" applyFont="1" applyFill="1" applyBorder="1"/>
    <xf numFmtId="8" fontId="2" fillId="7" borderId="9" xfId="0" applyNumberFormat="1" applyFont="1" applyFill="1" applyBorder="1"/>
    <xf numFmtId="0" fontId="2" fillId="7" borderId="3" xfId="0" applyFont="1" applyFill="1" applyBorder="1" applyAlignment="1">
      <alignment horizontal="right"/>
    </xf>
    <xf numFmtId="8" fontId="2" fillId="7" borderId="3" xfId="0" applyNumberFormat="1" applyFont="1" applyFill="1" applyBorder="1"/>
    <xf numFmtId="0" fontId="4" fillId="0" borderId="0" xfId="1" applyFont="1" applyAlignment="1">
      <alignment horizontal="left" vertical="top" wrapText="1"/>
    </xf>
    <xf numFmtId="164" fontId="5" fillId="8" borderId="3" xfId="1" applyNumberFormat="1" applyFont="1" applyFill="1" applyBorder="1" applyAlignment="1">
      <alignment horizontal="center" vertical="top" shrinkToFit="1"/>
    </xf>
    <xf numFmtId="0" fontId="6" fillId="8" borderId="3" xfId="1" applyFont="1" applyFill="1" applyBorder="1" applyAlignment="1">
      <alignment horizontal="left" vertical="top" wrapText="1"/>
    </xf>
    <xf numFmtId="3" fontId="6" fillId="0" borderId="3" xfId="1" applyNumberFormat="1" applyFont="1" applyBorder="1" applyAlignment="1">
      <alignment horizontal="center" vertical="top" shrinkToFit="1"/>
    </xf>
    <xf numFmtId="0" fontId="25" fillId="9" borderId="8" xfId="0" applyFont="1" applyFill="1" applyBorder="1"/>
    <xf numFmtId="0" fontId="25" fillId="9" borderId="9" xfId="0" applyFont="1" applyFill="1" applyBorder="1"/>
    <xf numFmtId="8" fontId="24" fillId="9" borderId="9" xfId="0" applyNumberFormat="1" applyFont="1" applyFill="1" applyBorder="1"/>
    <xf numFmtId="0" fontId="25" fillId="9" borderId="10" xfId="0" applyFont="1" applyFill="1" applyBorder="1"/>
    <xf numFmtId="0" fontId="25" fillId="9" borderId="11" xfId="0" applyFont="1" applyFill="1" applyBorder="1"/>
    <xf numFmtId="0" fontId="25" fillId="9" borderId="12" xfId="0" applyFont="1" applyFill="1" applyBorder="1"/>
    <xf numFmtId="0" fontId="25" fillId="9" borderId="9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164" fontId="5" fillId="0" borderId="0" xfId="1" applyNumberFormat="1" applyFont="1" applyAlignment="1">
      <alignment horizontal="center" vertical="top" shrinkToFit="1"/>
    </xf>
    <xf numFmtId="0" fontId="0" fillId="0" borderId="0" xfId="0" applyAlignment="1">
      <alignment horizontal="left"/>
    </xf>
    <xf numFmtId="0" fontId="0" fillId="5" borderId="8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25" fillId="9" borderId="8" xfId="0" applyFont="1" applyFill="1" applyBorder="1" applyAlignment="1">
      <alignment horizontal="left"/>
    </xf>
    <xf numFmtId="0" fontId="26" fillId="9" borderId="14" xfId="0" applyFont="1" applyFill="1" applyBorder="1" applyAlignment="1">
      <alignment horizontal="center"/>
    </xf>
    <xf numFmtId="0" fontId="25" fillId="9" borderId="15" xfId="0" applyFont="1" applyFill="1" applyBorder="1" applyAlignment="1">
      <alignment horizontal="center"/>
    </xf>
    <xf numFmtId="0" fontId="25" fillId="9" borderId="16" xfId="0" applyFont="1" applyFill="1" applyBorder="1" applyAlignment="1">
      <alignment horizontal="center"/>
    </xf>
    <xf numFmtId="0" fontId="25" fillId="9" borderId="0" xfId="0" applyFont="1" applyFill="1" applyAlignment="1">
      <alignment horizontal="left"/>
    </xf>
    <xf numFmtId="0" fontId="25" fillId="9" borderId="0" xfId="0" applyFont="1" applyFill="1"/>
    <xf numFmtId="0" fontId="22" fillId="7" borderId="14" xfId="0" applyFont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/>
    <xf numFmtId="0" fontId="0" fillId="7" borderId="18" xfId="0" applyFill="1" applyBorder="1"/>
    <xf numFmtId="0" fontId="0" fillId="7" borderId="19" xfId="0" applyFill="1" applyBorder="1"/>
    <xf numFmtId="0" fontId="23" fillId="5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8" fontId="0" fillId="0" borderId="0" xfId="0" applyNumberFormat="1"/>
    <xf numFmtId="3" fontId="0" fillId="0" borderId="0" xfId="0" applyNumberFormat="1"/>
    <xf numFmtId="0" fontId="27" fillId="0" borderId="3" xfId="0" applyFont="1" applyBorder="1" applyAlignment="1">
      <alignment horizontal="center"/>
    </xf>
    <xf numFmtId="0" fontId="29" fillId="0" borderId="0" xfId="0" applyFont="1" applyAlignment="1">
      <alignment horizontal="center"/>
    </xf>
    <xf numFmtId="3" fontId="5" fillId="8" borderId="2" xfId="1" applyNumberFormat="1" applyFont="1" applyFill="1" applyBorder="1" applyAlignment="1">
      <alignment horizontal="center" vertical="top" shrinkToFit="1"/>
    </xf>
    <xf numFmtId="0" fontId="28" fillId="8" borderId="3" xfId="1" applyFont="1" applyFill="1" applyBorder="1" applyAlignment="1">
      <alignment horizontal="center" vertical="top"/>
    </xf>
    <xf numFmtId="0" fontId="30" fillId="2" borderId="2" xfId="1" applyFont="1" applyFill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top" shrinkToFit="1"/>
    </xf>
    <xf numFmtId="3" fontId="10" fillId="6" borderId="0" xfId="1" applyNumberFormat="1" applyFont="1" applyFill="1" applyAlignment="1">
      <alignment horizontal="right" vertical="center" wrapText="1"/>
    </xf>
    <xf numFmtId="164" fontId="5" fillId="10" borderId="3" xfId="1" applyNumberFormat="1" applyFont="1" applyFill="1" applyBorder="1" applyAlignment="1">
      <alignment horizontal="center" vertical="top" shrinkToFit="1"/>
    </xf>
    <xf numFmtId="0" fontId="6" fillId="10" borderId="3" xfId="1" applyFont="1" applyFill="1" applyBorder="1" applyAlignment="1">
      <alignment horizontal="left" vertical="top" wrapText="1"/>
    </xf>
    <xf numFmtId="3" fontId="5" fillId="0" borderId="4" xfId="1" applyNumberFormat="1" applyFont="1" applyBorder="1" applyAlignment="1">
      <alignment horizontal="center" vertical="top" shrinkToFit="1"/>
    </xf>
    <xf numFmtId="1" fontId="5" fillId="0" borderId="4" xfId="1" applyNumberFormat="1" applyFont="1" applyBorder="1" applyAlignment="1">
      <alignment horizontal="center" vertical="top" shrinkToFit="1"/>
    </xf>
    <xf numFmtId="3" fontId="5" fillId="0" borderId="20" xfId="1" applyNumberFormat="1" applyFont="1" applyBorder="1" applyAlignment="1">
      <alignment horizontal="center" vertical="top" shrinkToFit="1"/>
    </xf>
    <xf numFmtId="3" fontId="5" fillId="0" borderId="21" xfId="1" applyNumberFormat="1" applyFont="1" applyBorder="1" applyAlignment="1">
      <alignment horizontal="center" vertical="top" shrinkToFit="1"/>
    </xf>
    <xf numFmtId="3" fontId="5" fillId="10" borderId="21" xfId="1" applyNumberFormat="1" applyFont="1" applyFill="1" applyBorder="1" applyAlignment="1">
      <alignment horizontal="center" vertical="top" shrinkToFit="1"/>
    </xf>
    <xf numFmtId="164" fontId="5" fillId="11" borderId="3" xfId="1" applyNumberFormat="1" applyFont="1" applyFill="1" applyBorder="1" applyAlignment="1">
      <alignment horizontal="center" vertical="top" shrinkToFit="1"/>
    </xf>
    <xf numFmtId="0" fontId="6" fillId="11" borderId="3" xfId="1" applyFont="1" applyFill="1" applyBorder="1" applyAlignment="1">
      <alignment horizontal="left" vertical="top" wrapText="1"/>
    </xf>
    <xf numFmtId="3" fontId="5" fillId="11" borderId="21" xfId="1" applyNumberFormat="1" applyFont="1" applyFill="1" applyBorder="1" applyAlignment="1">
      <alignment horizontal="center" vertical="top" shrinkToFit="1"/>
    </xf>
    <xf numFmtId="0" fontId="27" fillId="11" borderId="3" xfId="0" applyFont="1" applyFill="1" applyBorder="1"/>
    <xf numFmtId="0" fontId="28" fillId="0" borderId="3" xfId="1" applyFont="1" applyBorder="1" applyAlignment="1">
      <alignment horizontal="center" vertical="top"/>
    </xf>
    <xf numFmtId="0" fontId="27" fillId="10" borderId="3" xfId="0" applyFont="1" applyFill="1" applyBorder="1" applyAlignment="1">
      <alignment horizontal="center"/>
    </xf>
    <xf numFmtId="164" fontId="5" fillId="12" borderId="1" xfId="1" applyNumberFormat="1" applyFont="1" applyFill="1" applyBorder="1" applyAlignment="1">
      <alignment horizontal="center" vertical="top" shrinkToFit="1"/>
    </xf>
    <xf numFmtId="0" fontId="6" fillId="12" borderId="1" xfId="1" applyFont="1" applyFill="1" applyBorder="1" applyAlignment="1">
      <alignment horizontal="left" vertical="top" wrapText="1"/>
    </xf>
    <xf numFmtId="1" fontId="5" fillId="12" borderId="4" xfId="1" applyNumberFormat="1" applyFont="1" applyFill="1" applyBorder="1" applyAlignment="1">
      <alignment horizontal="center" vertical="top" shrinkToFit="1"/>
    </xf>
    <xf numFmtId="0" fontId="27" fillId="12" borderId="3" xfId="0" applyFont="1" applyFill="1" applyBorder="1" applyAlignment="1">
      <alignment horizontal="center"/>
    </xf>
    <xf numFmtId="0" fontId="0" fillId="8" borderId="0" xfId="0" applyFill="1"/>
    <xf numFmtId="0" fontId="11" fillId="2" borderId="4" xfId="1" applyFont="1" applyFill="1" applyBorder="1" applyAlignment="1">
      <alignment horizontal="center" vertical="top" wrapText="1"/>
    </xf>
    <xf numFmtId="0" fontId="10" fillId="2" borderId="5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5" fillId="0" borderId="0" xfId="1" applyFont="1" applyAlignment="1">
      <alignment horizontal="center" vertical="top" wrapText="1"/>
    </xf>
    <xf numFmtId="0" fontId="13" fillId="3" borderId="0" xfId="1" applyFont="1" applyFill="1" applyAlignment="1">
      <alignment horizontal="center" vertical="top" wrapText="1"/>
    </xf>
    <xf numFmtId="0" fontId="14" fillId="4" borderId="0" xfId="1" applyFont="1" applyFill="1" applyAlignment="1">
      <alignment horizontal="center" vertical="top" wrapText="1"/>
    </xf>
    <xf numFmtId="0" fontId="10" fillId="4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1"/>
  <sheetViews>
    <sheetView tabSelected="1" topLeftCell="B385" zoomScale="94" zoomScaleNormal="94" workbookViewId="0">
      <selection activeCell="F433" sqref="F433"/>
    </sheetView>
  </sheetViews>
  <sheetFormatPr baseColWidth="10" defaultRowHeight="14.5"/>
  <cols>
    <col min="1" max="1" width="2" customWidth="1"/>
    <col min="2" max="2" width="6.453125" customWidth="1"/>
    <col min="3" max="3" width="55.1796875" customWidth="1"/>
    <col min="4" max="4" width="22.453125" customWidth="1"/>
    <col min="5" max="5" width="12" customWidth="1"/>
    <col min="7" max="7" width="15.08984375" bestFit="1" customWidth="1"/>
  </cols>
  <sheetData>
    <row r="1" spans="2:5">
      <c r="B1" s="113" t="s">
        <v>47</v>
      </c>
      <c r="C1" s="114"/>
      <c r="D1" s="115"/>
    </row>
    <row r="2" spans="2:5" s="11" customFormat="1" ht="13">
      <c r="B2" s="116" t="s">
        <v>48</v>
      </c>
      <c r="C2" s="116"/>
      <c r="D2" s="116"/>
      <c r="E2" s="4"/>
    </row>
    <row r="3" spans="2:5" s="11" customFormat="1" ht="13">
      <c r="B3" s="117" t="s">
        <v>0</v>
      </c>
      <c r="C3" s="117"/>
      <c r="D3" s="117"/>
      <c r="E3" s="4"/>
    </row>
    <row r="4" spans="2:5" s="11" customFormat="1" ht="13"/>
    <row r="5" spans="2:5" s="11" customFormat="1" ht="13">
      <c r="B5" s="119" t="s">
        <v>1</v>
      </c>
      <c r="C5" s="119"/>
      <c r="D5" s="119"/>
      <c r="E5" s="4"/>
    </row>
    <row r="6" spans="2:5" s="11" customFormat="1" ht="13">
      <c r="B6" s="118" t="s">
        <v>234</v>
      </c>
      <c r="C6" s="119"/>
      <c r="D6" s="119"/>
      <c r="E6" s="4"/>
    </row>
    <row r="7" spans="2:5" s="11" customFormat="1" ht="13"/>
    <row r="8" spans="2:5" s="11" customFormat="1" ht="12.75" customHeight="1">
      <c r="B8" s="22" t="s">
        <v>54</v>
      </c>
      <c r="C8" s="13" t="s">
        <v>2</v>
      </c>
      <c r="D8" s="32">
        <f>D397</f>
        <v>440748</v>
      </c>
      <c r="E8" s="12"/>
    </row>
    <row r="9" spans="2:5" s="11" customFormat="1" ht="24" customHeight="1">
      <c r="B9" s="22" t="s">
        <v>55</v>
      </c>
      <c r="C9" s="46" t="s">
        <v>232</v>
      </c>
      <c r="D9" s="94">
        <f>D405</f>
        <v>1216638</v>
      </c>
      <c r="E9" s="12"/>
    </row>
    <row r="10" spans="2:5" s="11" customFormat="1" ht="21.75" customHeight="1">
      <c r="B10" s="22" t="s">
        <v>111</v>
      </c>
      <c r="C10" s="13" t="s">
        <v>120</v>
      </c>
      <c r="D10" s="36">
        <f>D431</f>
        <v>334044656</v>
      </c>
      <c r="E10" s="12"/>
    </row>
    <row r="11" spans="2:5" s="11" customFormat="1" ht="13.5" customHeight="1">
      <c r="B11" s="22"/>
      <c r="C11" s="23" t="s">
        <v>56</v>
      </c>
      <c r="D11" s="21"/>
      <c r="E11" s="12"/>
    </row>
    <row r="12" spans="2:5" s="15" customFormat="1" ht="28">
      <c r="B12" s="14" t="s">
        <v>49</v>
      </c>
      <c r="C12" s="14" t="s">
        <v>50</v>
      </c>
      <c r="D12" s="14" t="s">
        <v>51</v>
      </c>
      <c r="E12" s="92" t="s">
        <v>217</v>
      </c>
    </row>
    <row r="13" spans="2:5" ht="11.25" customHeight="1">
      <c r="B13" s="1">
        <v>1</v>
      </c>
      <c r="C13" s="2" t="s">
        <v>3</v>
      </c>
      <c r="D13" s="97">
        <v>1371</v>
      </c>
      <c r="E13" s="106">
        <v>525</v>
      </c>
    </row>
    <row r="14" spans="2:5" ht="11.25" customHeight="1">
      <c r="B14" s="1">
        <v>2</v>
      </c>
      <c r="C14" s="2" t="s">
        <v>4</v>
      </c>
      <c r="D14" s="98">
        <v>897</v>
      </c>
      <c r="E14" s="88">
        <v>531</v>
      </c>
    </row>
    <row r="15" spans="2:5" ht="11.25" customHeight="1">
      <c r="B15" s="1">
        <v>3</v>
      </c>
      <c r="C15" s="2" t="s">
        <v>5</v>
      </c>
      <c r="D15" s="97">
        <v>1428</v>
      </c>
      <c r="E15" s="88">
        <v>598</v>
      </c>
    </row>
    <row r="16" spans="2:5" ht="11.25" customHeight="1">
      <c r="B16" s="1">
        <v>4</v>
      </c>
      <c r="C16" s="2" t="s">
        <v>6</v>
      </c>
      <c r="D16" s="98">
        <v>899</v>
      </c>
      <c r="E16" s="88">
        <v>493</v>
      </c>
    </row>
    <row r="17" spans="2:5" ht="11.25" customHeight="1">
      <c r="B17" s="1">
        <v>5</v>
      </c>
      <c r="C17" s="2" t="s">
        <v>7</v>
      </c>
      <c r="D17" s="97">
        <v>1180</v>
      </c>
      <c r="E17" s="88">
        <v>675</v>
      </c>
    </row>
    <row r="18" spans="2:5" ht="11.25" customHeight="1">
      <c r="B18" s="1">
        <v>6</v>
      </c>
      <c r="C18" s="2" t="s">
        <v>8</v>
      </c>
      <c r="D18" s="97">
        <v>1644</v>
      </c>
      <c r="E18" s="88">
        <v>1858</v>
      </c>
    </row>
    <row r="19" spans="2:5" ht="11.25" customHeight="1">
      <c r="B19" s="1">
        <v>7</v>
      </c>
      <c r="C19" s="2" t="s">
        <v>9</v>
      </c>
      <c r="D19" s="98">
        <v>616</v>
      </c>
      <c r="E19" s="88">
        <v>277</v>
      </c>
    </row>
    <row r="20" spans="2:5" ht="11.25" customHeight="1">
      <c r="B20" s="1">
        <v>8</v>
      </c>
      <c r="C20" s="2" t="s">
        <v>10</v>
      </c>
      <c r="D20" s="98">
        <v>760</v>
      </c>
      <c r="E20" s="88">
        <v>358</v>
      </c>
    </row>
    <row r="21" spans="2:5" ht="11.25" customHeight="1">
      <c r="B21" s="1">
        <v>9</v>
      </c>
      <c r="C21" s="2" t="s">
        <v>11</v>
      </c>
      <c r="D21" s="97">
        <v>1133</v>
      </c>
      <c r="E21" s="88">
        <v>464</v>
      </c>
    </row>
    <row r="22" spans="2:5" ht="11.25" customHeight="1">
      <c r="B22" s="1">
        <v>10</v>
      </c>
      <c r="C22" s="2" t="s">
        <v>12</v>
      </c>
      <c r="D22" s="97">
        <v>1765</v>
      </c>
      <c r="E22" s="88">
        <v>948</v>
      </c>
    </row>
    <row r="23" spans="2:5" ht="11.25" customHeight="1">
      <c r="B23" s="1">
        <v>11</v>
      </c>
      <c r="C23" s="2" t="s">
        <v>13</v>
      </c>
      <c r="D23" s="98">
        <v>664</v>
      </c>
      <c r="E23" s="88">
        <v>261</v>
      </c>
    </row>
    <row r="24" spans="2:5" ht="11.25" customHeight="1">
      <c r="B24" s="1">
        <v>12</v>
      </c>
      <c r="C24" s="2" t="s">
        <v>14</v>
      </c>
      <c r="D24" s="98">
        <v>767</v>
      </c>
      <c r="E24" s="88">
        <v>378</v>
      </c>
    </row>
    <row r="25" spans="2:5" ht="11.25" customHeight="1">
      <c r="B25" s="1">
        <v>13</v>
      </c>
      <c r="C25" s="2" t="s">
        <v>15</v>
      </c>
      <c r="D25" s="97">
        <v>1682</v>
      </c>
      <c r="E25" s="88">
        <v>580</v>
      </c>
    </row>
    <row r="26" spans="2:5" ht="11.25" customHeight="1">
      <c r="B26" s="1">
        <v>14</v>
      </c>
      <c r="C26" s="2" t="s">
        <v>16</v>
      </c>
      <c r="D26" s="97">
        <v>2078</v>
      </c>
      <c r="E26" s="88">
        <v>892</v>
      </c>
    </row>
    <row r="27" spans="2:5" ht="11.25" customHeight="1">
      <c r="B27" s="1">
        <v>15</v>
      </c>
      <c r="C27" s="2" t="s">
        <v>17</v>
      </c>
      <c r="D27" s="98">
        <v>647</v>
      </c>
      <c r="E27" s="88">
        <v>230</v>
      </c>
    </row>
    <row r="28" spans="2:5" ht="11.25" customHeight="1">
      <c r="B28" s="1">
        <v>16</v>
      </c>
      <c r="C28" s="2" t="s">
        <v>18</v>
      </c>
      <c r="D28" s="98">
        <v>740</v>
      </c>
      <c r="E28" s="88">
        <v>311</v>
      </c>
    </row>
    <row r="29" spans="2:5" ht="11.25" customHeight="1">
      <c r="B29" s="1">
        <v>17</v>
      </c>
      <c r="C29" s="2" t="s">
        <v>19</v>
      </c>
      <c r="D29" s="97">
        <v>1833</v>
      </c>
      <c r="E29" s="88">
        <v>767</v>
      </c>
    </row>
    <row r="30" spans="2:5" ht="11.25" customHeight="1">
      <c r="B30" s="108">
        <v>18</v>
      </c>
      <c r="C30" s="109" t="s">
        <v>20</v>
      </c>
      <c r="D30" s="110">
        <v>637</v>
      </c>
      <c r="E30" s="111">
        <v>213</v>
      </c>
    </row>
    <row r="31" spans="2:5" ht="11.25" customHeight="1">
      <c r="B31" s="1">
        <v>19</v>
      </c>
      <c r="C31" s="2" t="s">
        <v>21</v>
      </c>
      <c r="D31" s="97">
        <v>1531</v>
      </c>
      <c r="E31" s="88">
        <v>363</v>
      </c>
    </row>
    <row r="32" spans="2:5" ht="11.25" customHeight="1">
      <c r="B32" s="1">
        <v>20</v>
      </c>
      <c r="C32" s="2" t="s">
        <v>22</v>
      </c>
      <c r="D32" s="97">
        <v>1543</v>
      </c>
      <c r="E32" s="88">
        <v>632</v>
      </c>
    </row>
    <row r="33" spans="2:5" ht="11.25" customHeight="1">
      <c r="B33" s="1">
        <v>21</v>
      </c>
      <c r="C33" s="2" t="s">
        <v>23</v>
      </c>
      <c r="D33" s="98">
        <v>865</v>
      </c>
      <c r="E33" s="88">
        <v>226</v>
      </c>
    </row>
    <row r="34" spans="2:5" ht="11.25" customHeight="1">
      <c r="B34" s="1">
        <v>22</v>
      </c>
      <c r="C34" s="2" t="s">
        <v>24</v>
      </c>
      <c r="D34" s="97">
        <v>3074</v>
      </c>
      <c r="E34" s="88">
        <v>1097</v>
      </c>
    </row>
    <row r="35" spans="2:5" ht="11.25" customHeight="1">
      <c r="B35" s="1">
        <v>23</v>
      </c>
      <c r="C35" s="2" t="s">
        <v>25</v>
      </c>
      <c r="D35" s="97">
        <v>2304</v>
      </c>
      <c r="E35" s="88">
        <v>544</v>
      </c>
    </row>
    <row r="36" spans="2:5" ht="11.25" customHeight="1">
      <c r="B36" s="1">
        <v>24</v>
      </c>
      <c r="C36" s="2" t="s">
        <v>26</v>
      </c>
      <c r="D36" s="97">
        <v>5091</v>
      </c>
      <c r="E36" s="88">
        <v>1819</v>
      </c>
    </row>
    <row r="37" spans="2:5" ht="11.25" customHeight="1">
      <c r="B37" s="1">
        <v>25</v>
      </c>
      <c r="C37" s="2" t="s">
        <v>27</v>
      </c>
      <c r="D37" s="97">
        <v>1681</v>
      </c>
      <c r="E37" s="88">
        <v>369</v>
      </c>
    </row>
    <row r="38" spans="2:5" ht="11.25" customHeight="1">
      <c r="B38" s="1">
        <v>26</v>
      </c>
      <c r="C38" s="2" t="s">
        <v>28</v>
      </c>
      <c r="D38" s="97">
        <v>2571</v>
      </c>
      <c r="E38" s="88">
        <v>1143</v>
      </c>
    </row>
    <row r="39" spans="2:5" ht="11.25" customHeight="1">
      <c r="B39" s="1">
        <v>27</v>
      </c>
      <c r="C39" s="2" t="s">
        <v>29</v>
      </c>
      <c r="D39" s="97">
        <v>7187</v>
      </c>
      <c r="E39" s="88">
        <v>2774</v>
      </c>
    </row>
    <row r="40" spans="2:5" ht="11.25" customHeight="1">
      <c r="B40" s="1">
        <v>28</v>
      </c>
      <c r="C40" s="2" t="s">
        <v>30</v>
      </c>
      <c r="D40" s="97">
        <v>1615</v>
      </c>
      <c r="E40" s="88">
        <v>574</v>
      </c>
    </row>
    <row r="41" spans="2:5" ht="11.25" customHeight="1">
      <c r="B41" s="1">
        <v>29</v>
      </c>
      <c r="C41" s="2" t="s">
        <v>31</v>
      </c>
      <c r="D41" s="97">
        <v>18223</v>
      </c>
      <c r="E41" s="88">
        <v>6317</v>
      </c>
    </row>
    <row r="42" spans="2:5" ht="11.25" customHeight="1">
      <c r="B42" s="1">
        <v>30</v>
      </c>
      <c r="C42" s="2" t="s">
        <v>32</v>
      </c>
      <c r="D42" s="97">
        <v>3342</v>
      </c>
      <c r="E42" s="88">
        <v>1011</v>
      </c>
    </row>
    <row r="43" spans="2:5" ht="11.25" customHeight="1">
      <c r="B43" s="1">
        <v>31</v>
      </c>
      <c r="C43" s="2" t="s">
        <v>33</v>
      </c>
      <c r="D43" s="97">
        <v>11283</v>
      </c>
      <c r="E43" s="88">
        <v>4227</v>
      </c>
    </row>
    <row r="44" spans="2:5" ht="11.25" customHeight="1">
      <c r="B44" s="1">
        <v>32</v>
      </c>
      <c r="C44" s="2" t="s">
        <v>34</v>
      </c>
      <c r="D44" s="97">
        <v>1869</v>
      </c>
      <c r="E44" s="88">
        <v>622</v>
      </c>
    </row>
    <row r="45" spans="2:5" ht="11.25" customHeight="1">
      <c r="B45" s="1">
        <v>33</v>
      </c>
      <c r="C45" s="2" t="s">
        <v>35</v>
      </c>
      <c r="D45" s="97">
        <v>7918</v>
      </c>
      <c r="E45" s="88">
        <v>3154</v>
      </c>
    </row>
    <row r="46" spans="2:5" ht="11.25" customHeight="1">
      <c r="B46" s="1">
        <v>34</v>
      </c>
      <c r="C46" s="2" t="s">
        <v>36</v>
      </c>
      <c r="D46" s="97">
        <v>3163</v>
      </c>
      <c r="E46" s="88">
        <v>1882</v>
      </c>
    </row>
    <row r="47" spans="2:5" ht="11.25" customHeight="1">
      <c r="B47" s="1">
        <v>35</v>
      </c>
      <c r="C47" s="2" t="s">
        <v>37</v>
      </c>
      <c r="D47" s="97">
        <v>1146</v>
      </c>
      <c r="E47" s="88">
        <v>388</v>
      </c>
    </row>
    <row r="48" spans="2:5" ht="11.25" customHeight="1">
      <c r="B48" s="1">
        <v>36</v>
      </c>
      <c r="C48" s="2" t="s">
        <v>38</v>
      </c>
      <c r="D48" s="97">
        <v>1075</v>
      </c>
      <c r="E48" s="88">
        <v>333</v>
      </c>
    </row>
    <row r="49" spans="2:5" ht="11.25" customHeight="1">
      <c r="B49" s="1">
        <v>37</v>
      </c>
      <c r="C49" s="2" t="s">
        <v>39</v>
      </c>
      <c r="D49" s="98">
        <v>1629</v>
      </c>
      <c r="E49" s="88">
        <v>699</v>
      </c>
    </row>
    <row r="50" spans="2:5" ht="11.25" customHeight="1">
      <c r="B50" s="1">
        <v>38</v>
      </c>
      <c r="C50" s="2" t="s">
        <v>40</v>
      </c>
      <c r="D50" s="97">
        <v>9619</v>
      </c>
      <c r="E50" s="88">
        <v>3792</v>
      </c>
    </row>
    <row r="51" spans="2:5" ht="11.25" customHeight="1">
      <c r="B51" s="1">
        <v>39</v>
      </c>
      <c r="C51" s="2" t="s">
        <v>41</v>
      </c>
      <c r="D51" s="97">
        <v>2918</v>
      </c>
      <c r="E51" s="88">
        <v>1089</v>
      </c>
    </row>
    <row r="52" spans="2:5" ht="11.25" customHeight="1">
      <c r="B52" s="1">
        <v>40</v>
      </c>
      <c r="C52" s="2" t="s">
        <v>42</v>
      </c>
      <c r="D52" s="97">
        <v>3090</v>
      </c>
      <c r="E52" s="88">
        <v>950</v>
      </c>
    </row>
    <row r="53" spans="2:5" ht="11.25" customHeight="1">
      <c r="B53" s="1">
        <v>41</v>
      </c>
      <c r="C53" s="2" t="s">
        <v>43</v>
      </c>
      <c r="D53" s="97">
        <v>9441</v>
      </c>
      <c r="E53" s="88">
        <v>2211</v>
      </c>
    </row>
    <row r="54" spans="2:5" ht="11.25" customHeight="1">
      <c r="B54" s="5">
        <v>42</v>
      </c>
      <c r="C54" s="6" t="s">
        <v>44</v>
      </c>
      <c r="D54" s="99">
        <v>6505</v>
      </c>
      <c r="E54" s="88">
        <v>2518</v>
      </c>
    </row>
    <row r="55" spans="2:5" ht="11.25" customHeight="1">
      <c r="B55" s="8">
        <v>43</v>
      </c>
      <c r="C55" s="9" t="s">
        <v>45</v>
      </c>
      <c r="D55" s="100">
        <v>10168</v>
      </c>
      <c r="E55" s="88">
        <v>4335</v>
      </c>
    </row>
    <row r="56" spans="2:5" ht="11.25" customHeight="1">
      <c r="B56" s="8">
        <v>44</v>
      </c>
      <c r="C56" s="9" t="s">
        <v>52</v>
      </c>
      <c r="D56" s="100">
        <v>1449</v>
      </c>
      <c r="E56" s="88">
        <v>441</v>
      </c>
    </row>
    <row r="57" spans="2:5" ht="11.25" customHeight="1">
      <c r="B57" s="8">
        <v>45</v>
      </c>
      <c r="C57" s="9" t="s">
        <v>53</v>
      </c>
      <c r="D57" s="100">
        <v>9312</v>
      </c>
      <c r="E57" s="88">
        <v>2809</v>
      </c>
    </row>
    <row r="58" spans="2:5" ht="11.25" customHeight="1">
      <c r="B58" s="8">
        <v>46</v>
      </c>
      <c r="C58" s="9" t="s">
        <v>58</v>
      </c>
      <c r="D58" s="100">
        <v>1090</v>
      </c>
      <c r="E58" s="88">
        <v>229</v>
      </c>
    </row>
    <row r="59" spans="2:5" ht="11.25" customHeight="1">
      <c r="B59" s="8">
        <v>47</v>
      </c>
      <c r="C59" s="9" t="s">
        <v>59</v>
      </c>
      <c r="D59" s="100">
        <v>2376</v>
      </c>
      <c r="E59" s="88">
        <v>969</v>
      </c>
    </row>
    <row r="60" spans="2:5" ht="11.25" customHeight="1">
      <c r="B60" s="8">
        <v>48</v>
      </c>
      <c r="C60" s="9" t="s">
        <v>60</v>
      </c>
      <c r="D60" s="100">
        <v>2971</v>
      </c>
      <c r="E60" s="88">
        <v>1161</v>
      </c>
    </row>
    <row r="61" spans="2:5" ht="11.25" customHeight="1">
      <c r="B61" s="8">
        <v>49</v>
      </c>
      <c r="C61" s="9" t="s">
        <v>61</v>
      </c>
      <c r="D61" s="100">
        <v>4164</v>
      </c>
      <c r="E61" s="88">
        <v>1706</v>
      </c>
    </row>
    <row r="62" spans="2:5" ht="11.25" customHeight="1">
      <c r="B62" s="8">
        <v>50</v>
      </c>
      <c r="C62" s="9" t="s">
        <v>62</v>
      </c>
      <c r="D62" s="100">
        <v>2009</v>
      </c>
      <c r="E62" s="88">
        <v>861</v>
      </c>
    </row>
    <row r="63" spans="2:5" ht="11.25" customHeight="1">
      <c r="B63" s="8">
        <v>51</v>
      </c>
      <c r="C63" s="9" t="s">
        <v>63</v>
      </c>
      <c r="D63" s="100">
        <v>812</v>
      </c>
      <c r="E63" s="88">
        <v>297</v>
      </c>
    </row>
    <row r="64" spans="2:5" ht="11.25" customHeight="1">
      <c r="B64" s="8">
        <v>52</v>
      </c>
      <c r="C64" s="9" t="s">
        <v>64</v>
      </c>
      <c r="D64" s="100">
        <v>1248</v>
      </c>
      <c r="E64" s="88">
        <v>488</v>
      </c>
    </row>
    <row r="65" spans="2:5" ht="11.25" customHeight="1">
      <c r="B65" s="8">
        <v>53</v>
      </c>
      <c r="C65" s="9" t="s">
        <v>65</v>
      </c>
      <c r="D65" s="100">
        <v>1213</v>
      </c>
      <c r="E65" s="88">
        <v>408</v>
      </c>
    </row>
    <row r="66" spans="2:5" ht="11.25" customHeight="1">
      <c r="B66" s="8">
        <v>54</v>
      </c>
      <c r="C66" s="9" t="s">
        <v>66</v>
      </c>
      <c r="D66" s="100">
        <v>988</v>
      </c>
      <c r="E66" s="88">
        <v>367</v>
      </c>
    </row>
    <row r="67" spans="2:5" ht="11.25" customHeight="1">
      <c r="B67" s="8">
        <v>55</v>
      </c>
      <c r="C67" s="9" t="s">
        <v>67</v>
      </c>
      <c r="D67" s="100">
        <v>1450</v>
      </c>
      <c r="E67" s="88">
        <v>459</v>
      </c>
    </row>
    <row r="68" spans="2:5" ht="11.25" customHeight="1">
      <c r="B68" s="8">
        <v>56</v>
      </c>
      <c r="C68" s="9" t="s">
        <v>68</v>
      </c>
      <c r="D68" s="100">
        <v>5251</v>
      </c>
      <c r="E68" s="88">
        <v>2757</v>
      </c>
    </row>
    <row r="69" spans="2:5" ht="11.25" customHeight="1">
      <c r="B69" s="8">
        <v>57</v>
      </c>
      <c r="C69" s="9" t="s">
        <v>69</v>
      </c>
      <c r="D69" s="100">
        <v>2040</v>
      </c>
      <c r="E69" s="88">
        <v>929</v>
      </c>
    </row>
    <row r="70" spans="2:5" ht="11.25" customHeight="1">
      <c r="B70" s="8">
        <v>58</v>
      </c>
      <c r="C70" s="9" t="s">
        <v>70</v>
      </c>
      <c r="D70" s="100">
        <v>5414</v>
      </c>
      <c r="E70" s="88">
        <v>2093</v>
      </c>
    </row>
    <row r="71" spans="2:5" ht="11.25" customHeight="1">
      <c r="B71" s="8">
        <v>59</v>
      </c>
      <c r="C71" s="9" t="s">
        <v>71</v>
      </c>
      <c r="D71" s="100">
        <v>2557</v>
      </c>
      <c r="E71" s="88">
        <v>1149</v>
      </c>
    </row>
    <row r="72" spans="2:5" ht="11.25" customHeight="1">
      <c r="B72" s="8">
        <v>60</v>
      </c>
      <c r="C72" s="9" t="s">
        <v>72</v>
      </c>
      <c r="D72" s="100">
        <v>1035</v>
      </c>
      <c r="E72" s="88">
        <v>259</v>
      </c>
    </row>
    <row r="73" spans="2:5" ht="11.25" customHeight="1">
      <c r="B73" s="8">
        <v>61</v>
      </c>
      <c r="C73" s="9" t="s">
        <v>73</v>
      </c>
      <c r="D73" s="100">
        <v>5497</v>
      </c>
      <c r="E73" s="88">
        <v>1648</v>
      </c>
    </row>
    <row r="74" spans="2:5" ht="11.25" customHeight="1">
      <c r="B74" s="8">
        <v>62</v>
      </c>
      <c r="C74" s="9" t="s">
        <v>74</v>
      </c>
      <c r="D74" s="100">
        <v>2585</v>
      </c>
      <c r="E74" s="88">
        <v>852</v>
      </c>
    </row>
    <row r="75" spans="2:5" ht="11.25" customHeight="1">
      <c r="B75" s="8">
        <v>63</v>
      </c>
      <c r="C75" s="9" t="s">
        <v>75</v>
      </c>
      <c r="D75" s="100">
        <v>1596</v>
      </c>
      <c r="E75" s="88">
        <v>484</v>
      </c>
    </row>
    <row r="76" spans="2:5" ht="11.25" customHeight="1">
      <c r="B76" s="8">
        <v>64</v>
      </c>
      <c r="C76" s="9" t="s">
        <v>76</v>
      </c>
      <c r="D76" s="100">
        <v>3217</v>
      </c>
      <c r="E76" s="88">
        <v>693</v>
      </c>
    </row>
    <row r="77" spans="2:5" ht="11.25" customHeight="1">
      <c r="B77" s="8">
        <v>65</v>
      </c>
      <c r="C77" s="9" t="s">
        <v>77</v>
      </c>
      <c r="D77" s="100">
        <v>4952</v>
      </c>
      <c r="E77" s="88">
        <v>1592</v>
      </c>
    </row>
    <row r="78" spans="2:5" ht="11.25" customHeight="1">
      <c r="B78" s="8">
        <v>66</v>
      </c>
      <c r="C78" s="9" t="s">
        <v>78</v>
      </c>
      <c r="D78" s="100">
        <v>1002</v>
      </c>
      <c r="E78" s="88">
        <v>386</v>
      </c>
    </row>
    <row r="79" spans="2:5" ht="11.25" customHeight="1">
      <c r="B79" s="8">
        <v>67</v>
      </c>
      <c r="C79" s="9" t="s">
        <v>79</v>
      </c>
      <c r="D79" s="100">
        <v>1573</v>
      </c>
      <c r="E79" s="88">
        <v>563</v>
      </c>
    </row>
    <row r="80" spans="2:5" ht="11.25" customHeight="1">
      <c r="B80" s="8">
        <v>68</v>
      </c>
      <c r="C80" s="9" t="s">
        <v>80</v>
      </c>
      <c r="D80" s="100">
        <v>2758</v>
      </c>
      <c r="E80" s="88">
        <v>946</v>
      </c>
    </row>
    <row r="81" spans="2:5" ht="11.25" customHeight="1">
      <c r="B81" s="8">
        <v>69</v>
      </c>
      <c r="C81" s="9" t="s">
        <v>81</v>
      </c>
      <c r="D81" s="100">
        <v>6884</v>
      </c>
      <c r="E81" s="88">
        <v>2979</v>
      </c>
    </row>
    <row r="82" spans="2:5" ht="11.25" customHeight="1">
      <c r="B82" s="8">
        <v>70</v>
      </c>
      <c r="C82" s="9" t="s">
        <v>82</v>
      </c>
      <c r="D82" s="100">
        <v>7870</v>
      </c>
      <c r="E82" s="88">
        <v>2826</v>
      </c>
    </row>
    <row r="83" spans="2:5" ht="11.25" customHeight="1">
      <c r="B83" s="8">
        <v>71</v>
      </c>
      <c r="C83" s="9" t="s">
        <v>83</v>
      </c>
      <c r="D83" s="100">
        <v>7718</v>
      </c>
      <c r="E83" s="88">
        <v>2731</v>
      </c>
    </row>
    <row r="84" spans="2:5" ht="11.25" customHeight="1">
      <c r="B84" s="8">
        <v>72</v>
      </c>
      <c r="C84" s="9" t="s">
        <v>84</v>
      </c>
      <c r="D84" s="100">
        <v>2871</v>
      </c>
      <c r="E84" s="88">
        <v>1242</v>
      </c>
    </row>
    <row r="85" spans="2:5" ht="11.25" customHeight="1">
      <c r="B85" s="8">
        <v>73</v>
      </c>
      <c r="C85" s="9" t="s">
        <v>85</v>
      </c>
      <c r="D85" s="100">
        <v>3913</v>
      </c>
      <c r="E85" s="88">
        <v>1044</v>
      </c>
    </row>
    <row r="86" spans="2:5" ht="11.25" customHeight="1">
      <c r="B86" s="8">
        <v>74</v>
      </c>
      <c r="C86" s="9" t="s">
        <v>86</v>
      </c>
      <c r="D86" s="100">
        <v>2188</v>
      </c>
      <c r="E86" s="88">
        <v>618</v>
      </c>
    </row>
    <row r="87" spans="2:5" ht="11.25" customHeight="1">
      <c r="B87" s="8">
        <v>75</v>
      </c>
      <c r="C87" s="9" t="s">
        <v>87</v>
      </c>
      <c r="D87" s="100">
        <v>1630</v>
      </c>
      <c r="E87" s="88">
        <v>461</v>
      </c>
    </row>
    <row r="88" spans="2:5" ht="11.25" customHeight="1">
      <c r="B88" s="8">
        <v>76</v>
      </c>
      <c r="C88" s="9" t="s">
        <v>88</v>
      </c>
      <c r="D88" s="100">
        <v>2242</v>
      </c>
      <c r="E88" s="88">
        <v>695</v>
      </c>
    </row>
    <row r="89" spans="2:5" ht="11.25" customHeight="1">
      <c r="B89" s="8">
        <v>77</v>
      </c>
      <c r="C89" s="9" t="s">
        <v>89</v>
      </c>
      <c r="D89" s="100">
        <v>4223</v>
      </c>
      <c r="E89" s="88">
        <v>1381</v>
      </c>
    </row>
    <row r="90" spans="2:5" ht="11.25" customHeight="1">
      <c r="B90" s="8">
        <v>78</v>
      </c>
      <c r="C90" s="9" t="s">
        <v>90</v>
      </c>
      <c r="D90" s="100">
        <v>3915</v>
      </c>
      <c r="E90" s="88">
        <v>1816</v>
      </c>
    </row>
    <row r="91" spans="2:5" ht="11.25" customHeight="1">
      <c r="B91" s="8">
        <v>79</v>
      </c>
      <c r="C91" s="9" t="s">
        <v>91</v>
      </c>
      <c r="D91" s="100">
        <v>3063</v>
      </c>
      <c r="E91" s="88">
        <v>1115</v>
      </c>
    </row>
    <row r="92" spans="2:5" ht="11.25" customHeight="1">
      <c r="B92" s="8">
        <v>80</v>
      </c>
      <c r="C92" s="9" t="s">
        <v>92</v>
      </c>
      <c r="D92" s="100">
        <v>961</v>
      </c>
      <c r="E92" s="88">
        <v>306</v>
      </c>
    </row>
    <row r="93" spans="2:5" ht="11.25" customHeight="1">
      <c r="B93" s="95">
        <v>81</v>
      </c>
      <c r="C93" s="96" t="s">
        <v>93</v>
      </c>
      <c r="D93" s="101">
        <v>1331</v>
      </c>
      <c r="E93" s="107">
        <v>458</v>
      </c>
    </row>
    <row r="94" spans="2:5" ht="11.25" customHeight="1">
      <c r="B94" s="8">
        <v>82</v>
      </c>
      <c r="C94" s="9" t="s">
        <v>94</v>
      </c>
      <c r="D94" s="100">
        <v>7258</v>
      </c>
      <c r="E94" s="88">
        <v>2825</v>
      </c>
    </row>
    <row r="95" spans="2:5" ht="11.25" customHeight="1">
      <c r="B95" s="8">
        <v>83</v>
      </c>
      <c r="C95" s="9" t="s">
        <v>95</v>
      </c>
      <c r="D95" s="100">
        <v>1069</v>
      </c>
      <c r="E95" s="88">
        <v>321</v>
      </c>
    </row>
    <row r="96" spans="2:5" ht="11.25" customHeight="1">
      <c r="B96" s="8">
        <v>84</v>
      </c>
      <c r="C96" s="9" t="s">
        <v>96</v>
      </c>
      <c r="D96" s="100">
        <v>2304</v>
      </c>
      <c r="E96" s="88">
        <v>600</v>
      </c>
    </row>
    <row r="97" spans="2:5" ht="11.25" customHeight="1">
      <c r="B97" s="8">
        <v>85</v>
      </c>
      <c r="C97" s="9" t="s">
        <v>97</v>
      </c>
      <c r="D97" s="100">
        <v>2293</v>
      </c>
      <c r="E97" s="88">
        <v>1157</v>
      </c>
    </row>
    <row r="98" spans="2:5" ht="11.25" customHeight="1">
      <c r="B98" s="8">
        <v>86</v>
      </c>
      <c r="C98" s="9" t="s">
        <v>98</v>
      </c>
      <c r="D98" s="100">
        <v>4405</v>
      </c>
      <c r="E98" s="88">
        <v>1799</v>
      </c>
    </row>
    <row r="99" spans="2:5" ht="11.25" customHeight="1">
      <c r="B99" s="8">
        <v>87</v>
      </c>
      <c r="C99" s="9" t="s">
        <v>109</v>
      </c>
      <c r="D99" s="100">
        <v>3417</v>
      </c>
      <c r="E99" s="88">
        <v>1217</v>
      </c>
    </row>
    <row r="100" spans="2:5" ht="11.25" customHeight="1">
      <c r="B100" s="8">
        <v>88</v>
      </c>
      <c r="C100" s="9" t="s">
        <v>99</v>
      </c>
      <c r="D100" s="100">
        <v>17441</v>
      </c>
      <c r="E100" s="88">
        <v>6327</v>
      </c>
    </row>
    <row r="101" spans="2:5" ht="11.25" customHeight="1">
      <c r="B101" s="8">
        <v>89</v>
      </c>
      <c r="C101" s="9" t="s">
        <v>100</v>
      </c>
      <c r="D101" s="100">
        <v>954</v>
      </c>
      <c r="E101" s="88">
        <v>379</v>
      </c>
    </row>
    <row r="102" spans="2:5" ht="11.25" customHeight="1">
      <c r="B102" s="8">
        <v>90</v>
      </c>
      <c r="C102" s="9" t="s">
        <v>101</v>
      </c>
      <c r="D102" s="100">
        <v>1947</v>
      </c>
      <c r="E102" s="88">
        <v>824</v>
      </c>
    </row>
    <row r="103" spans="2:5" ht="11.25" customHeight="1">
      <c r="B103" s="8">
        <v>91</v>
      </c>
      <c r="C103" s="9" t="s">
        <v>102</v>
      </c>
      <c r="D103" s="100">
        <v>4345</v>
      </c>
      <c r="E103" s="88">
        <v>1526</v>
      </c>
    </row>
    <row r="104" spans="2:5" ht="11.25" customHeight="1">
      <c r="B104" s="8">
        <v>92</v>
      </c>
      <c r="C104" s="9" t="s">
        <v>103</v>
      </c>
      <c r="D104" s="100">
        <v>1721</v>
      </c>
      <c r="E104" s="88">
        <v>582</v>
      </c>
    </row>
    <row r="105" spans="2:5" ht="11.25" customHeight="1">
      <c r="B105" s="8">
        <v>93</v>
      </c>
      <c r="C105" s="9" t="s">
        <v>104</v>
      </c>
      <c r="D105" s="100">
        <v>9146</v>
      </c>
      <c r="E105" s="88">
        <v>3383</v>
      </c>
    </row>
    <row r="106" spans="2:5" ht="11.25" customHeight="1">
      <c r="B106" s="8">
        <v>94</v>
      </c>
      <c r="C106" s="9" t="s">
        <v>105</v>
      </c>
      <c r="D106" s="100">
        <v>6302</v>
      </c>
      <c r="E106" s="88">
        <v>3389</v>
      </c>
    </row>
    <row r="107" spans="2:5" ht="11.25" customHeight="1">
      <c r="B107" s="8">
        <v>95</v>
      </c>
      <c r="C107" s="9" t="s">
        <v>106</v>
      </c>
      <c r="D107" s="100">
        <v>1735</v>
      </c>
      <c r="E107" s="88">
        <v>452</v>
      </c>
    </row>
    <row r="108" spans="2:5" ht="11.25" customHeight="1">
      <c r="B108" s="8">
        <v>96</v>
      </c>
      <c r="C108" s="9" t="s">
        <v>107</v>
      </c>
      <c r="D108" s="100">
        <v>1779</v>
      </c>
      <c r="E108" s="88">
        <v>769</v>
      </c>
    </row>
    <row r="109" spans="2:5" ht="11.25" customHeight="1">
      <c r="B109" s="8">
        <v>97</v>
      </c>
      <c r="C109" s="9" t="s">
        <v>108</v>
      </c>
      <c r="D109" s="100">
        <v>2378</v>
      </c>
      <c r="E109" s="88">
        <v>833</v>
      </c>
    </row>
    <row r="110" spans="2:5" ht="11.25" customHeight="1">
      <c r="B110" s="8">
        <v>98</v>
      </c>
      <c r="C110" s="9" t="s">
        <v>110</v>
      </c>
      <c r="D110" s="100">
        <v>1808</v>
      </c>
      <c r="E110" s="88">
        <v>509</v>
      </c>
    </row>
    <row r="111" spans="2:5" ht="11.25" customHeight="1">
      <c r="B111" s="8">
        <v>99</v>
      </c>
      <c r="C111" s="9" t="s">
        <v>121</v>
      </c>
      <c r="D111" s="100">
        <v>3630</v>
      </c>
      <c r="E111" s="88">
        <v>1450</v>
      </c>
    </row>
    <row r="112" spans="2:5" ht="11.25" customHeight="1">
      <c r="B112" s="8">
        <v>100</v>
      </c>
      <c r="C112" s="9" t="s">
        <v>122</v>
      </c>
      <c r="D112" s="100">
        <v>4195</v>
      </c>
      <c r="E112" s="88">
        <v>1509</v>
      </c>
    </row>
    <row r="113" spans="2:5" ht="11.25" customHeight="1">
      <c r="B113" s="8">
        <v>101</v>
      </c>
      <c r="C113" s="9" t="s">
        <v>123</v>
      </c>
      <c r="D113" s="100">
        <v>6741</v>
      </c>
      <c r="E113" s="88">
        <v>1974</v>
      </c>
    </row>
    <row r="114" spans="2:5" ht="11.25" customHeight="1">
      <c r="B114" s="8">
        <v>102</v>
      </c>
      <c r="C114" s="9" t="s">
        <v>124</v>
      </c>
      <c r="D114" s="100">
        <v>2400</v>
      </c>
      <c r="E114" s="88">
        <v>987</v>
      </c>
    </row>
    <row r="115" spans="2:5" ht="11.25" customHeight="1">
      <c r="B115" s="8">
        <v>103</v>
      </c>
      <c r="C115" s="9" t="s">
        <v>125</v>
      </c>
      <c r="D115" s="100">
        <v>4206</v>
      </c>
      <c r="E115" s="88">
        <v>1998</v>
      </c>
    </row>
    <row r="116" spans="2:5" ht="11.25" customHeight="1">
      <c r="B116" s="8">
        <v>104</v>
      </c>
      <c r="C116" s="9" t="s">
        <v>126</v>
      </c>
      <c r="D116" s="100">
        <v>12671</v>
      </c>
      <c r="E116" s="88">
        <v>4223</v>
      </c>
    </row>
    <row r="117" spans="2:5" ht="11.25" customHeight="1">
      <c r="B117" s="8">
        <v>105</v>
      </c>
      <c r="C117" s="9" t="s">
        <v>127</v>
      </c>
      <c r="D117" s="100">
        <v>3971</v>
      </c>
      <c r="E117" s="88">
        <v>1343</v>
      </c>
    </row>
    <row r="118" spans="2:5" ht="11.25" customHeight="1">
      <c r="B118" s="8">
        <v>106</v>
      </c>
      <c r="C118" s="9" t="s">
        <v>128</v>
      </c>
      <c r="D118" s="100">
        <v>2069</v>
      </c>
      <c r="E118" s="88">
        <v>560</v>
      </c>
    </row>
    <row r="119" spans="2:5" ht="11.25" customHeight="1">
      <c r="B119" s="8">
        <v>107</v>
      </c>
      <c r="C119" s="9" t="s">
        <v>129</v>
      </c>
      <c r="D119" s="100">
        <v>4416</v>
      </c>
      <c r="E119" s="88">
        <v>1540</v>
      </c>
    </row>
    <row r="120" spans="2:5" ht="11.25" customHeight="1">
      <c r="B120" s="8">
        <v>108</v>
      </c>
      <c r="C120" s="9" t="s">
        <v>130</v>
      </c>
      <c r="D120" s="100">
        <v>747</v>
      </c>
      <c r="E120" s="88">
        <v>272</v>
      </c>
    </row>
    <row r="121" spans="2:5" ht="11.25" customHeight="1">
      <c r="B121" s="8">
        <v>109</v>
      </c>
      <c r="C121" s="9" t="s">
        <v>131</v>
      </c>
      <c r="D121" s="100">
        <v>1505</v>
      </c>
      <c r="E121" s="88">
        <v>537</v>
      </c>
    </row>
    <row r="122" spans="2:5" ht="11.25" customHeight="1">
      <c r="B122" s="8">
        <v>110</v>
      </c>
      <c r="C122" s="9" t="s">
        <v>132</v>
      </c>
      <c r="D122" s="100">
        <v>674</v>
      </c>
      <c r="E122" s="88">
        <v>232</v>
      </c>
    </row>
    <row r="123" spans="2:5" ht="11.25" customHeight="1">
      <c r="B123" s="8">
        <v>111</v>
      </c>
      <c r="C123" s="9" t="s">
        <v>133</v>
      </c>
      <c r="D123" s="100">
        <v>1629</v>
      </c>
      <c r="E123" s="88">
        <v>345</v>
      </c>
    </row>
    <row r="124" spans="2:5" ht="11.25" customHeight="1">
      <c r="B124" s="8">
        <v>112</v>
      </c>
      <c r="C124" s="9" t="s">
        <v>134</v>
      </c>
      <c r="D124" s="100">
        <v>2590</v>
      </c>
      <c r="E124" s="88">
        <v>1009</v>
      </c>
    </row>
    <row r="125" spans="2:5" ht="11.25" customHeight="1">
      <c r="B125" s="8">
        <v>113</v>
      </c>
      <c r="C125" s="9" t="s">
        <v>135</v>
      </c>
      <c r="D125" s="100">
        <v>3121</v>
      </c>
      <c r="E125" s="88">
        <v>1136</v>
      </c>
    </row>
    <row r="126" spans="2:5" ht="11.25" customHeight="1">
      <c r="B126" s="8">
        <v>114</v>
      </c>
      <c r="C126" s="9" t="s">
        <v>136</v>
      </c>
      <c r="D126" s="100">
        <v>2403</v>
      </c>
      <c r="E126" s="88">
        <v>466</v>
      </c>
    </row>
    <row r="127" spans="2:5" ht="11.25" customHeight="1">
      <c r="B127" s="8">
        <v>115</v>
      </c>
      <c r="C127" s="9" t="s">
        <v>137</v>
      </c>
      <c r="D127" s="100">
        <v>1559</v>
      </c>
      <c r="E127" s="88">
        <v>514</v>
      </c>
    </row>
    <row r="128" spans="2:5" ht="11.25" customHeight="1">
      <c r="B128" s="8">
        <v>116</v>
      </c>
      <c r="C128" s="9" t="s">
        <v>138</v>
      </c>
      <c r="D128" s="100">
        <v>2334</v>
      </c>
      <c r="E128" s="88">
        <v>603</v>
      </c>
    </row>
    <row r="129" spans="2:5" ht="11.25" customHeight="1">
      <c r="B129" s="8">
        <v>117</v>
      </c>
      <c r="C129" s="9" t="s">
        <v>139</v>
      </c>
      <c r="D129" s="100">
        <v>2323</v>
      </c>
      <c r="E129" s="88">
        <v>913</v>
      </c>
    </row>
    <row r="130" spans="2:5" ht="11.25" customHeight="1">
      <c r="B130" s="8">
        <v>118</v>
      </c>
      <c r="C130" s="9" t="s">
        <v>140</v>
      </c>
      <c r="D130" s="100">
        <v>1952</v>
      </c>
      <c r="E130" s="88">
        <v>424</v>
      </c>
    </row>
    <row r="131" spans="2:5" ht="11.25" customHeight="1">
      <c r="B131" s="8">
        <v>119</v>
      </c>
      <c r="C131" s="9" t="s">
        <v>141</v>
      </c>
      <c r="D131" s="100">
        <v>979</v>
      </c>
      <c r="E131" s="88">
        <v>385</v>
      </c>
    </row>
    <row r="132" spans="2:5" ht="11.25" customHeight="1">
      <c r="B132" s="8">
        <v>120</v>
      </c>
      <c r="C132" s="9" t="s">
        <v>142</v>
      </c>
      <c r="D132" s="100">
        <v>2857</v>
      </c>
      <c r="E132" s="88">
        <v>900</v>
      </c>
    </row>
    <row r="133" spans="2:5" ht="11.25" customHeight="1">
      <c r="B133" s="8">
        <v>121</v>
      </c>
      <c r="C133" s="9" t="s">
        <v>143</v>
      </c>
      <c r="D133" s="100">
        <v>3157</v>
      </c>
      <c r="E133" s="88">
        <v>1082</v>
      </c>
    </row>
    <row r="134" spans="2:5" ht="11.25" customHeight="1">
      <c r="B134" s="8">
        <v>122</v>
      </c>
      <c r="C134" s="9" t="s">
        <v>144</v>
      </c>
      <c r="D134" s="100">
        <v>974</v>
      </c>
      <c r="E134" s="88">
        <v>196</v>
      </c>
    </row>
    <row r="135" spans="2:5" ht="11.25" customHeight="1">
      <c r="B135" s="8">
        <v>123</v>
      </c>
      <c r="C135" s="9" t="s">
        <v>83</v>
      </c>
      <c r="D135" s="100">
        <v>4044</v>
      </c>
      <c r="E135" s="88">
        <v>1161</v>
      </c>
    </row>
    <row r="136" spans="2:5" ht="11.25" customHeight="1">
      <c r="B136" s="8">
        <v>124</v>
      </c>
      <c r="C136" s="9" t="s">
        <v>145</v>
      </c>
      <c r="D136" s="100">
        <v>833</v>
      </c>
      <c r="E136" s="88">
        <v>150</v>
      </c>
    </row>
    <row r="137" spans="2:5" ht="11.25" customHeight="1">
      <c r="B137" s="8">
        <v>125</v>
      </c>
      <c r="C137" s="9" t="s">
        <v>146</v>
      </c>
      <c r="D137" s="100">
        <v>852</v>
      </c>
      <c r="E137" s="88">
        <v>117</v>
      </c>
    </row>
    <row r="138" spans="2:5" ht="11.25" customHeight="1">
      <c r="B138" s="8">
        <v>126</v>
      </c>
      <c r="C138" s="9" t="s">
        <v>147</v>
      </c>
      <c r="D138" s="100">
        <v>1538</v>
      </c>
      <c r="E138" s="88">
        <v>325</v>
      </c>
    </row>
    <row r="139" spans="2:5" ht="11.25" customHeight="1">
      <c r="B139" s="8">
        <v>127</v>
      </c>
      <c r="C139" s="9" t="s">
        <v>148</v>
      </c>
      <c r="D139" s="100">
        <v>2232</v>
      </c>
      <c r="E139" s="88">
        <v>760</v>
      </c>
    </row>
    <row r="140" spans="2:5" ht="11.25" customHeight="1">
      <c r="B140" s="8">
        <v>128</v>
      </c>
      <c r="C140" s="9" t="s">
        <v>149</v>
      </c>
      <c r="D140" s="100">
        <v>9698</v>
      </c>
      <c r="E140" s="88">
        <v>2904</v>
      </c>
    </row>
    <row r="141" spans="2:5" ht="11.25" customHeight="1">
      <c r="B141" s="8">
        <v>129</v>
      </c>
      <c r="C141" s="9" t="s">
        <v>150</v>
      </c>
      <c r="D141" s="100">
        <v>1648</v>
      </c>
      <c r="E141" s="88">
        <v>363</v>
      </c>
    </row>
    <row r="142" spans="2:5" ht="11.25" customHeight="1">
      <c r="B142" s="8">
        <v>130</v>
      </c>
      <c r="C142" s="9" t="s">
        <v>151</v>
      </c>
      <c r="D142" s="100">
        <v>1708</v>
      </c>
      <c r="E142" s="88">
        <v>365</v>
      </c>
    </row>
    <row r="143" spans="2:5" ht="11.25" customHeight="1">
      <c r="B143" s="8">
        <v>131</v>
      </c>
      <c r="C143" s="9" t="s">
        <v>53</v>
      </c>
      <c r="D143" s="100">
        <v>5633</v>
      </c>
      <c r="E143" s="88">
        <v>1952</v>
      </c>
    </row>
    <row r="144" spans="2:5" ht="11.25" customHeight="1">
      <c r="B144" s="8">
        <v>132</v>
      </c>
      <c r="C144" s="9" t="s">
        <v>152</v>
      </c>
      <c r="D144" s="100">
        <v>3964</v>
      </c>
      <c r="E144" s="88">
        <v>465</v>
      </c>
    </row>
    <row r="145" spans="2:5" ht="11.25" customHeight="1">
      <c r="B145" s="8">
        <v>133</v>
      </c>
      <c r="C145" s="9" t="s">
        <v>85</v>
      </c>
      <c r="D145" s="100">
        <v>1522</v>
      </c>
      <c r="E145" s="88">
        <v>648</v>
      </c>
    </row>
    <row r="146" spans="2:5" ht="11.25" customHeight="1">
      <c r="B146" s="8">
        <v>134</v>
      </c>
      <c r="C146" s="9" t="s">
        <v>153</v>
      </c>
      <c r="D146" s="100">
        <v>1535</v>
      </c>
      <c r="E146" s="88">
        <v>334</v>
      </c>
    </row>
    <row r="147" spans="2:5" ht="11.25" customHeight="1">
      <c r="B147" s="8">
        <v>135</v>
      </c>
      <c r="C147" s="9" t="s">
        <v>154</v>
      </c>
      <c r="D147" s="100">
        <v>1619</v>
      </c>
      <c r="E147" s="88">
        <v>724</v>
      </c>
    </row>
    <row r="148" spans="2:5" ht="11.25" customHeight="1">
      <c r="B148" s="8">
        <v>136</v>
      </c>
      <c r="C148" s="9" t="s">
        <v>65</v>
      </c>
      <c r="D148" s="100">
        <v>1185</v>
      </c>
      <c r="E148" s="88">
        <v>362</v>
      </c>
    </row>
    <row r="149" spans="2:5" ht="11.25" customHeight="1">
      <c r="B149" s="8">
        <v>137</v>
      </c>
      <c r="C149" s="9" t="s">
        <v>155</v>
      </c>
      <c r="D149" s="100">
        <v>7645</v>
      </c>
      <c r="E149" s="88">
        <v>3211</v>
      </c>
    </row>
    <row r="150" spans="2:5" ht="11.25" customHeight="1">
      <c r="B150" s="8">
        <v>138</v>
      </c>
      <c r="C150" s="9" t="s">
        <v>156</v>
      </c>
      <c r="D150" s="100">
        <v>5276</v>
      </c>
      <c r="E150" s="88">
        <v>1723</v>
      </c>
    </row>
    <row r="151" spans="2:5" ht="11.25" customHeight="1">
      <c r="B151" s="8">
        <v>139</v>
      </c>
      <c r="C151" s="9" t="s">
        <v>157</v>
      </c>
      <c r="D151" s="100">
        <v>13573</v>
      </c>
      <c r="E151" s="88">
        <v>4542</v>
      </c>
    </row>
    <row r="152" spans="2:5" ht="11.25" customHeight="1">
      <c r="B152" s="8">
        <v>140</v>
      </c>
      <c r="C152" s="9" t="s">
        <v>158</v>
      </c>
      <c r="D152" s="100">
        <v>1082</v>
      </c>
      <c r="E152" s="88">
        <v>398</v>
      </c>
    </row>
    <row r="153" spans="2:5" ht="11.25" customHeight="1">
      <c r="B153" s="8">
        <v>141</v>
      </c>
      <c r="C153" s="9" t="s">
        <v>159</v>
      </c>
      <c r="D153" s="100">
        <v>1147</v>
      </c>
      <c r="E153" s="88">
        <v>338</v>
      </c>
    </row>
    <row r="154" spans="2:5" ht="11.25" customHeight="1">
      <c r="B154" s="8">
        <v>142</v>
      </c>
      <c r="C154" s="9" t="s">
        <v>160</v>
      </c>
      <c r="D154" s="100">
        <v>10203</v>
      </c>
      <c r="E154" s="88">
        <v>3647</v>
      </c>
    </row>
    <row r="155" spans="2:5" ht="11.25" customHeight="1">
      <c r="B155" s="8">
        <v>143</v>
      </c>
      <c r="C155" s="9" t="s">
        <v>161</v>
      </c>
      <c r="D155" s="100">
        <v>2922</v>
      </c>
      <c r="E155" s="88">
        <v>1038</v>
      </c>
    </row>
    <row r="156" spans="2:5" ht="11.25" customHeight="1">
      <c r="B156" s="8">
        <v>144</v>
      </c>
      <c r="C156" s="9" t="s">
        <v>162</v>
      </c>
      <c r="D156" s="100">
        <v>7160</v>
      </c>
      <c r="E156" s="88">
        <v>2787</v>
      </c>
    </row>
    <row r="157" spans="2:5" ht="11.25" customHeight="1">
      <c r="B157" s="8">
        <v>145</v>
      </c>
      <c r="C157" s="9" t="s">
        <v>67</v>
      </c>
      <c r="D157" s="100">
        <v>10247</v>
      </c>
      <c r="E157" s="88">
        <v>4742</v>
      </c>
    </row>
    <row r="158" spans="2:5" ht="11.25" customHeight="1">
      <c r="B158" s="8">
        <v>146</v>
      </c>
      <c r="C158" s="9" t="s">
        <v>164</v>
      </c>
      <c r="D158" s="100">
        <v>4863</v>
      </c>
      <c r="E158" s="88">
        <v>1665</v>
      </c>
    </row>
    <row r="159" spans="2:5" ht="11.25" customHeight="1">
      <c r="B159" s="8">
        <v>147</v>
      </c>
      <c r="C159" s="9" t="s">
        <v>163</v>
      </c>
      <c r="D159" s="100">
        <v>2737</v>
      </c>
      <c r="E159" s="88">
        <v>754</v>
      </c>
    </row>
    <row r="160" spans="2:5" ht="11.25" customHeight="1">
      <c r="B160" s="8">
        <v>148</v>
      </c>
      <c r="C160" s="9" t="s">
        <v>63</v>
      </c>
      <c r="D160" s="100">
        <v>1844</v>
      </c>
      <c r="E160" s="88">
        <v>439</v>
      </c>
    </row>
    <row r="161" spans="2:5" ht="11.25" customHeight="1">
      <c r="B161" s="8">
        <v>149</v>
      </c>
      <c r="C161" s="9" t="s">
        <v>165</v>
      </c>
      <c r="D161" s="100">
        <v>3621</v>
      </c>
      <c r="E161" s="88">
        <v>957</v>
      </c>
    </row>
    <row r="162" spans="2:5" ht="11.25" customHeight="1">
      <c r="B162" s="8">
        <v>150</v>
      </c>
      <c r="C162" s="9" t="s">
        <v>166</v>
      </c>
      <c r="D162" s="100">
        <v>3670</v>
      </c>
      <c r="E162" s="88">
        <v>2565</v>
      </c>
    </row>
    <row r="163" spans="2:5" ht="11.25" customHeight="1">
      <c r="B163" s="8">
        <v>151</v>
      </c>
      <c r="C163" s="9" t="s">
        <v>167</v>
      </c>
      <c r="D163" s="100">
        <v>756</v>
      </c>
      <c r="E163" s="88">
        <v>346</v>
      </c>
    </row>
    <row r="164" spans="2:5" ht="11.25" customHeight="1">
      <c r="B164" s="8">
        <v>152</v>
      </c>
      <c r="C164" s="9" t="s">
        <v>168</v>
      </c>
      <c r="D164" s="100">
        <v>1933</v>
      </c>
      <c r="E164" s="88">
        <v>688</v>
      </c>
    </row>
    <row r="165" spans="2:5" ht="11.25" customHeight="1">
      <c r="B165" s="8">
        <v>153</v>
      </c>
      <c r="C165" s="9" t="s">
        <v>106</v>
      </c>
      <c r="D165" s="100">
        <v>1275</v>
      </c>
      <c r="E165" s="88">
        <v>182</v>
      </c>
    </row>
    <row r="166" spans="2:5" ht="11.25" customHeight="1">
      <c r="B166" s="8">
        <v>154</v>
      </c>
      <c r="C166" s="9" t="s">
        <v>97</v>
      </c>
      <c r="D166" s="100">
        <v>4835</v>
      </c>
      <c r="E166" s="88">
        <v>1217</v>
      </c>
    </row>
    <row r="167" spans="2:5" ht="11.25" customHeight="1">
      <c r="B167" s="8">
        <v>155</v>
      </c>
      <c r="C167" s="9" t="s">
        <v>169</v>
      </c>
      <c r="D167" s="100">
        <v>6775</v>
      </c>
      <c r="E167" s="88">
        <v>1084</v>
      </c>
    </row>
    <row r="168" spans="2:5" ht="11.25" customHeight="1">
      <c r="B168" s="8">
        <v>156</v>
      </c>
      <c r="C168" s="9" t="s">
        <v>170</v>
      </c>
      <c r="D168" s="100">
        <v>7388</v>
      </c>
      <c r="E168" s="88">
        <v>2635</v>
      </c>
    </row>
    <row r="169" spans="2:5" ht="11.25" customHeight="1">
      <c r="B169" s="8">
        <v>157</v>
      </c>
      <c r="C169" s="9" t="s">
        <v>93</v>
      </c>
      <c r="D169" s="100">
        <v>1355</v>
      </c>
      <c r="E169" s="88">
        <v>390</v>
      </c>
    </row>
    <row r="170" spans="2:5" ht="11.25" customHeight="1">
      <c r="B170" s="8">
        <v>158</v>
      </c>
      <c r="C170" s="9" t="s">
        <v>90</v>
      </c>
      <c r="D170" s="100">
        <v>5175</v>
      </c>
      <c r="E170" s="88">
        <v>1802</v>
      </c>
    </row>
    <row r="171" spans="2:5" ht="11.25" customHeight="1">
      <c r="B171" s="8">
        <v>159</v>
      </c>
      <c r="C171" s="9" t="s">
        <v>123</v>
      </c>
      <c r="D171" s="100">
        <v>2695</v>
      </c>
      <c r="E171" s="88">
        <v>628</v>
      </c>
    </row>
    <row r="172" spans="2:5" ht="11.25" customHeight="1">
      <c r="B172" s="8">
        <v>160</v>
      </c>
      <c r="C172" s="9" t="s">
        <v>124</v>
      </c>
      <c r="D172" s="100">
        <v>3660</v>
      </c>
      <c r="E172" s="88">
        <v>795</v>
      </c>
    </row>
    <row r="173" spans="2:5" ht="11.25" customHeight="1">
      <c r="B173" s="8">
        <v>161</v>
      </c>
      <c r="C173" s="9" t="s">
        <v>86</v>
      </c>
      <c r="D173" s="100">
        <v>2392</v>
      </c>
      <c r="E173" s="88">
        <v>673</v>
      </c>
    </row>
    <row r="174" spans="2:5" ht="11.25" customHeight="1">
      <c r="B174" s="8">
        <v>162</v>
      </c>
      <c r="C174" s="9" t="s">
        <v>171</v>
      </c>
      <c r="D174" s="100">
        <v>2361</v>
      </c>
      <c r="E174" s="88">
        <v>818</v>
      </c>
    </row>
    <row r="175" spans="2:5" ht="11.25" customHeight="1">
      <c r="B175" s="8">
        <v>163</v>
      </c>
      <c r="C175" s="9" t="s">
        <v>88</v>
      </c>
      <c r="D175" s="100">
        <v>5582</v>
      </c>
      <c r="E175" s="88">
        <v>1550</v>
      </c>
    </row>
    <row r="176" spans="2:5" ht="11.25" customHeight="1">
      <c r="B176" s="8">
        <v>164</v>
      </c>
      <c r="C176" s="9" t="s">
        <v>74</v>
      </c>
      <c r="D176" s="100">
        <v>2455</v>
      </c>
      <c r="E176" s="88">
        <v>681</v>
      </c>
    </row>
    <row r="177" spans="2:5" ht="11.25" customHeight="1">
      <c r="B177" s="8">
        <v>165</v>
      </c>
      <c r="C177" s="9" t="s">
        <v>172</v>
      </c>
      <c r="D177" s="100">
        <v>1493</v>
      </c>
      <c r="E177" s="88">
        <v>730</v>
      </c>
    </row>
    <row r="178" spans="2:5" ht="11.25" customHeight="1">
      <c r="B178" s="8">
        <v>166</v>
      </c>
      <c r="C178" s="9" t="s">
        <v>173</v>
      </c>
      <c r="D178" s="100">
        <v>3812</v>
      </c>
      <c r="E178" s="88">
        <v>1352</v>
      </c>
    </row>
    <row r="179" spans="2:5" ht="11.25" customHeight="1">
      <c r="B179" s="8">
        <v>167</v>
      </c>
      <c r="C179" s="9" t="s">
        <v>69</v>
      </c>
      <c r="D179" s="100">
        <v>1509</v>
      </c>
      <c r="E179" s="88">
        <v>539</v>
      </c>
    </row>
    <row r="180" spans="2:5" ht="11.25" customHeight="1">
      <c r="B180" s="8">
        <v>168</v>
      </c>
      <c r="C180" s="9" t="s">
        <v>174</v>
      </c>
      <c r="D180" s="100">
        <v>2584</v>
      </c>
      <c r="E180" s="88">
        <v>650</v>
      </c>
    </row>
    <row r="181" spans="2:5" ht="11.25" customHeight="1">
      <c r="B181" s="8">
        <v>169</v>
      </c>
      <c r="C181" s="9" t="s">
        <v>92</v>
      </c>
      <c r="D181" s="100">
        <v>2383</v>
      </c>
      <c r="E181" s="88">
        <v>865</v>
      </c>
    </row>
    <row r="182" spans="2:5" ht="11.25" customHeight="1">
      <c r="B182" s="8">
        <v>170</v>
      </c>
      <c r="C182" s="9" t="s">
        <v>101</v>
      </c>
      <c r="D182" s="100">
        <v>2155</v>
      </c>
      <c r="E182" s="88">
        <v>850</v>
      </c>
    </row>
    <row r="183" spans="2:5" ht="11.25" customHeight="1">
      <c r="B183" s="8">
        <v>171</v>
      </c>
      <c r="C183" s="9" t="s">
        <v>175</v>
      </c>
      <c r="D183" s="100">
        <v>1474</v>
      </c>
      <c r="E183" s="88">
        <v>449</v>
      </c>
    </row>
    <row r="184" spans="2:5" ht="11.25" customHeight="1">
      <c r="B184" s="8">
        <v>172</v>
      </c>
      <c r="C184" s="9" t="s">
        <v>176</v>
      </c>
      <c r="D184" s="100">
        <v>3129</v>
      </c>
      <c r="E184" s="88">
        <v>825</v>
      </c>
    </row>
    <row r="185" spans="2:5" ht="11.25" customHeight="1">
      <c r="B185" s="8">
        <v>173</v>
      </c>
      <c r="C185" s="9" t="s">
        <v>177</v>
      </c>
      <c r="D185" s="100">
        <v>1717</v>
      </c>
      <c r="E185" s="88">
        <v>478</v>
      </c>
    </row>
    <row r="186" spans="2:5" ht="11.25" customHeight="1">
      <c r="B186" s="8">
        <v>174</v>
      </c>
      <c r="C186" s="9" t="s">
        <v>76</v>
      </c>
      <c r="D186" s="100">
        <v>3893</v>
      </c>
      <c r="E186" s="88">
        <v>1243</v>
      </c>
    </row>
    <row r="187" spans="2:5" ht="11.25" customHeight="1">
      <c r="B187" s="8">
        <v>175</v>
      </c>
      <c r="C187" s="9" t="s">
        <v>178</v>
      </c>
      <c r="D187" s="100">
        <v>3579</v>
      </c>
      <c r="E187" s="88">
        <v>1708</v>
      </c>
    </row>
    <row r="188" spans="2:5" ht="11.25" customHeight="1">
      <c r="B188" s="8">
        <v>176</v>
      </c>
      <c r="C188" s="9" t="s">
        <v>179</v>
      </c>
      <c r="D188" s="100">
        <v>4072</v>
      </c>
      <c r="E188" s="88">
        <v>1591</v>
      </c>
    </row>
    <row r="189" spans="2:5" ht="11.25" customHeight="1">
      <c r="B189" s="8">
        <v>177</v>
      </c>
      <c r="C189" s="9" t="s">
        <v>72</v>
      </c>
      <c r="D189" s="100">
        <v>1846</v>
      </c>
      <c r="E189" s="88">
        <v>393</v>
      </c>
    </row>
    <row r="190" spans="2:5" ht="11.25" customHeight="1">
      <c r="B190" s="8">
        <v>178</v>
      </c>
      <c r="C190" s="9" t="s">
        <v>180</v>
      </c>
      <c r="D190" s="100">
        <v>14167</v>
      </c>
      <c r="E190" s="88">
        <v>4511</v>
      </c>
    </row>
    <row r="191" spans="2:5" ht="11.25" customHeight="1">
      <c r="B191" s="8">
        <v>179</v>
      </c>
      <c r="C191" s="9" t="s">
        <v>181</v>
      </c>
      <c r="D191" s="100">
        <v>2853</v>
      </c>
      <c r="E191" s="88">
        <v>973</v>
      </c>
    </row>
    <row r="192" spans="2:5" ht="11.25" customHeight="1">
      <c r="B192" s="8">
        <v>180</v>
      </c>
      <c r="C192" s="9" t="s">
        <v>71</v>
      </c>
      <c r="D192" s="100">
        <v>6943</v>
      </c>
      <c r="E192" s="88">
        <v>1795</v>
      </c>
    </row>
    <row r="193" spans="2:5" ht="11.25" customHeight="1">
      <c r="B193" s="8">
        <v>181</v>
      </c>
      <c r="C193" s="9" t="s">
        <v>182</v>
      </c>
      <c r="D193" s="100">
        <v>3074</v>
      </c>
      <c r="E193" s="88">
        <v>1246</v>
      </c>
    </row>
    <row r="194" spans="2:5" ht="11.25" customHeight="1">
      <c r="B194" s="8">
        <v>182</v>
      </c>
      <c r="C194" s="9" t="s">
        <v>73</v>
      </c>
      <c r="D194" s="100">
        <v>7947</v>
      </c>
      <c r="E194" s="88">
        <v>2518</v>
      </c>
    </row>
    <row r="195" spans="2:5" ht="11.25" customHeight="1">
      <c r="B195" s="8">
        <v>183</v>
      </c>
      <c r="C195" s="9" t="s">
        <v>183</v>
      </c>
      <c r="D195" s="100">
        <v>5349</v>
      </c>
      <c r="E195" s="88">
        <v>2533</v>
      </c>
    </row>
    <row r="196" spans="2:5" ht="11.25" customHeight="1">
      <c r="B196" s="8">
        <v>184</v>
      </c>
      <c r="C196" s="9" t="s">
        <v>184</v>
      </c>
      <c r="D196" s="100">
        <v>3715</v>
      </c>
      <c r="E196" s="88">
        <v>914</v>
      </c>
    </row>
    <row r="197" spans="2:5" ht="11.25" customHeight="1">
      <c r="B197" s="8">
        <v>185</v>
      </c>
      <c r="C197" s="9" t="s">
        <v>185</v>
      </c>
      <c r="D197" s="100">
        <v>1172</v>
      </c>
      <c r="E197" s="88">
        <v>505</v>
      </c>
    </row>
    <row r="198" spans="2:5" ht="11.25" customHeight="1">
      <c r="B198" s="8">
        <v>186</v>
      </c>
      <c r="C198" s="9" t="s">
        <v>66</v>
      </c>
      <c r="D198" s="100">
        <v>2413</v>
      </c>
      <c r="E198" s="88">
        <v>869</v>
      </c>
    </row>
    <row r="199" spans="2:5" ht="11.25" customHeight="1">
      <c r="B199" s="8">
        <v>187</v>
      </c>
      <c r="C199" s="9" t="s">
        <v>186</v>
      </c>
      <c r="D199" s="100">
        <v>1142</v>
      </c>
      <c r="E199" s="88">
        <v>1038</v>
      </c>
    </row>
    <row r="200" spans="2:5" ht="11.25" customHeight="1">
      <c r="B200" s="8">
        <v>188</v>
      </c>
      <c r="C200" s="9" t="s">
        <v>187</v>
      </c>
      <c r="D200" s="100">
        <v>1254</v>
      </c>
      <c r="E200" s="88">
        <v>303</v>
      </c>
    </row>
    <row r="201" spans="2:5" ht="11.25" customHeight="1">
      <c r="B201" s="8">
        <v>189</v>
      </c>
      <c r="C201" s="9" t="s">
        <v>135</v>
      </c>
      <c r="D201" s="100">
        <v>2069</v>
      </c>
      <c r="E201" s="88">
        <v>693</v>
      </c>
    </row>
    <row r="202" spans="2:5" ht="11.25" customHeight="1">
      <c r="B202" s="8">
        <v>190</v>
      </c>
      <c r="C202" s="9" t="s">
        <v>125</v>
      </c>
      <c r="D202" s="100">
        <v>2274</v>
      </c>
      <c r="E202" s="88">
        <v>1411</v>
      </c>
    </row>
    <row r="203" spans="2:5" ht="11.25" customHeight="1">
      <c r="B203" s="8">
        <v>191</v>
      </c>
      <c r="C203" s="9" t="s">
        <v>188</v>
      </c>
      <c r="D203" s="100">
        <v>2313</v>
      </c>
      <c r="E203" s="88">
        <v>526</v>
      </c>
    </row>
    <row r="204" spans="2:5" ht="11.25" customHeight="1">
      <c r="B204" s="8">
        <v>192</v>
      </c>
      <c r="C204" s="9" t="s">
        <v>141</v>
      </c>
      <c r="D204" s="100">
        <v>1107</v>
      </c>
      <c r="E204" s="88">
        <v>280</v>
      </c>
    </row>
    <row r="205" spans="2:5" ht="11.25" customHeight="1">
      <c r="B205" s="8">
        <v>193</v>
      </c>
      <c r="C205" s="9" t="s">
        <v>80</v>
      </c>
      <c r="D205" s="100">
        <v>10463</v>
      </c>
      <c r="E205" s="88">
        <v>3691</v>
      </c>
    </row>
    <row r="206" spans="2:5" ht="11.25" customHeight="1">
      <c r="B206" s="8">
        <v>194</v>
      </c>
      <c r="C206" s="9" t="s">
        <v>189</v>
      </c>
      <c r="D206" s="100">
        <v>1003</v>
      </c>
      <c r="E206" s="88">
        <v>319</v>
      </c>
    </row>
    <row r="207" spans="2:5" ht="11.25" customHeight="1">
      <c r="B207" s="8">
        <v>195</v>
      </c>
      <c r="C207" s="9" t="s">
        <v>137</v>
      </c>
      <c r="D207" s="100">
        <v>1953</v>
      </c>
      <c r="E207" s="88">
        <v>643</v>
      </c>
    </row>
    <row r="208" spans="2:5" ht="11.25" customHeight="1">
      <c r="B208" s="8">
        <v>196</v>
      </c>
      <c r="C208" s="9" t="s">
        <v>190</v>
      </c>
      <c r="D208" s="100">
        <v>1706</v>
      </c>
      <c r="E208" s="88">
        <v>621</v>
      </c>
    </row>
    <row r="209" spans="2:5" ht="11.25" customHeight="1">
      <c r="B209" s="8">
        <v>197</v>
      </c>
      <c r="C209" s="9" t="s">
        <v>104</v>
      </c>
      <c r="D209" s="100">
        <v>3487</v>
      </c>
      <c r="E209" s="88">
        <v>907</v>
      </c>
    </row>
    <row r="210" spans="2:5" ht="11.25" customHeight="1">
      <c r="B210" s="8">
        <v>198</v>
      </c>
      <c r="C210" s="9" t="s">
        <v>61</v>
      </c>
      <c r="D210" s="100">
        <v>2611</v>
      </c>
      <c r="E210" s="88">
        <v>1196</v>
      </c>
    </row>
    <row r="211" spans="2:5" ht="11.25" customHeight="1">
      <c r="B211" s="8">
        <v>199</v>
      </c>
      <c r="C211" s="9" t="s">
        <v>191</v>
      </c>
      <c r="D211" s="100">
        <v>1579</v>
      </c>
      <c r="E211" s="88">
        <v>855</v>
      </c>
    </row>
    <row r="212" spans="2:5" ht="11.25" customHeight="1">
      <c r="B212" s="8">
        <v>200</v>
      </c>
      <c r="C212" s="9" t="s">
        <v>103</v>
      </c>
      <c r="D212" s="100">
        <v>1946</v>
      </c>
      <c r="E212" s="88">
        <v>471</v>
      </c>
    </row>
    <row r="213" spans="2:5" ht="11.25" customHeight="1">
      <c r="B213" s="8">
        <v>201</v>
      </c>
      <c r="C213" s="9" t="s">
        <v>192</v>
      </c>
      <c r="D213" s="100">
        <v>10644</v>
      </c>
      <c r="E213" s="88">
        <v>3636</v>
      </c>
    </row>
    <row r="214" spans="2:5" ht="11.25" customHeight="1">
      <c r="B214" s="8">
        <v>202</v>
      </c>
      <c r="C214" s="9" t="s">
        <v>94</v>
      </c>
      <c r="D214" s="100">
        <v>7648</v>
      </c>
      <c r="E214" s="88">
        <v>3569</v>
      </c>
    </row>
    <row r="215" spans="2:5" ht="11.25" customHeight="1">
      <c r="B215" s="8">
        <v>203</v>
      </c>
      <c r="C215" s="9" t="s">
        <v>193</v>
      </c>
      <c r="D215" s="100">
        <v>4626</v>
      </c>
      <c r="E215" s="88">
        <v>1835</v>
      </c>
    </row>
    <row r="216" spans="2:5" ht="11.25" customHeight="1">
      <c r="B216" s="8">
        <v>204</v>
      </c>
      <c r="C216" s="9" t="s">
        <v>194</v>
      </c>
      <c r="D216" s="100">
        <v>6346</v>
      </c>
      <c r="E216" s="88">
        <v>2794</v>
      </c>
    </row>
    <row r="217" spans="2:5" ht="11.25" customHeight="1">
      <c r="B217" s="8">
        <v>205</v>
      </c>
      <c r="C217" s="9" t="s">
        <v>195</v>
      </c>
      <c r="D217" s="100">
        <v>7398</v>
      </c>
      <c r="E217" s="88">
        <v>3376</v>
      </c>
    </row>
    <row r="218" spans="2:5" ht="11.25" customHeight="1">
      <c r="B218" s="8">
        <v>206</v>
      </c>
      <c r="C218" s="9" t="s">
        <v>107</v>
      </c>
      <c r="D218" s="100">
        <v>1772</v>
      </c>
      <c r="E218" s="88">
        <v>406</v>
      </c>
    </row>
    <row r="219" spans="2:5" ht="11.25" customHeight="1">
      <c r="B219" s="8">
        <v>207</v>
      </c>
      <c r="C219" s="9" t="s">
        <v>196</v>
      </c>
      <c r="D219" s="100">
        <v>1102</v>
      </c>
      <c r="E219" s="88">
        <v>241</v>
      </c>
    </row>
    <row r="220" spans="2:5" ht="11.25" customHeight="1">
      <c r="B220" s="8">
        <v>208</v>
      </c>
      <c r="C220" s="9" t="s">
        <v>178</v>
      </c>
      <c r="D220" s="100">
        <v>6713</v>
      </c>
      <c r="E220" s="88">
        <v>2200</v>
      </c>
    </row>
    <row r="221" spans="2:5" ht="11.25" customHeight="1">
      <c r="B221" s="8">
        <v>209</v>
      </c>
      <c r="C221" s="9" t="s">
        <v>197</v>
      </c>
      <c r="D221" s="100">
        <v>4395</v>
      </c>
      <c r="E221" s="88">
        <v>1478</v>
      </c>
    </row>
    <row r="222" spans="2:5" ht="11.25" customHeight="1">
      <c r="B222" s="8">
        <v>210</v>
      </c>
      <c r="C222" s="9" t="s">
        <v>85</v>
      </c>
      <c r="D222" s="100">
        <v>839</v>
      </c>
      <c r="E222" s="88">
        <v>128</v>
      </c>
    </row>
    <row r="223" spans="2:5" ht="11.25" customHeight="1">
      <c r="B223" s="8">
        <v>211</v>
      </c>
      <c r="C223" s="9" t="s">
        <v>146</v>
      </c>
      <c r="D223" s="100">
        <v>401</v>
      </c>
      <c r="E223" s="88">
        <v>129</v>
      </c>
    </row>
    <row r="224" spans="2:5" ht="11.25" customHeight="1">
      <c r="B224" s="8">
        <v>212</v>
      </c>
      <c r="C224" s="9" t="s">
        <v>108</v>
      </c>
      <c r="D224" s="100">
        <v>2688</v>
      </c>
      <c r="E224" s="88">
        <v>473</v>
      </c>
    </row>
    <row r="225" spans="2:5" ht="11.25" customHeight="1">
      <c r="B225" s="8">
        <v>213</v>
      </c>
      <c r="C225" s="9" t="s">
        <v>126</v>
      </c>
      <c r="D225" s="100">
        <v>10278</v>
      </c>
      <c r="E225" s="88">
        <v>3994</v>
      </c>
    </row>
    <row r="226" spans="2:5" ht="11.25" customHeight="1">
      <c r="B226" s="8">
        <v>214</v>
      </c>
      <c r="C226" s="9" t="s">
        <v>144</v>
      </c>
      <c r="D226" s="100">
        <v>1336</v>
      </c>
      <c r="E226" s="88">
        <v>290</v>
      </c>
    </row>
    <row r="227" spans="2:5" ht="11.25" customHeight="1">
      <c r="B227" s="8">
        <v>215</v>
      </c>
      <c r="C227" s="9" t="s">
        <v>147</v>
      </c>
      <c r="D227" s="100">
        <v>684</v>
      </c>
      <c r="E227" s="88">
        <v>157</v>
      </c>
    </row>
    <row r="228" spans="2:5" ht="11.25" customHeight="1">
      <c r="B228" s="8">
        <v>216</v>
      </c>
      <c r="C228" s="9" t="s">
        <v>198</v>
      </c>
      <c r="D228" s="100">
        <v>1731</v>
      </c>
      <c r="E228" s="88">
        <v>393</v>
      </c>
    </row>
    <row r="229" spans="2:5" ht="11.25" customHeight="1">
      <c r="B229" s="8">
        <v>217</v>
      </c>
      <c r="C229" s="9" t="s">
        <v>199</v>
      </c>
      <c r="D229" s="100">
        <v>1388</v>
      </c>
      <c r="E229" s="88">
        <v>421</v>
      </c>
    </row>
    <row r="230" spans="2:5" ht="11.25" customHeight="1">
      <c r="B230" s="8">
        <v>218</v>
      </c>
      <c r="C230" s="9" t="s">
        <v>83</v>
      </c>
      <c r="D230" s="100">
        <v>8905</v>
      </c>
      <c r="E230" s="88">
        <v>3499</v>
      </c>
    </row>
    <row r="231" spans="2:5" ht="11.25" customHeight="1">
      <c r="B231" s="8">
        <v>219</v>
      </c>
      <c r="C231" s="9" t="s">
        <v>142</v>
      </c>
      <c r="D231" s="100">
        <v>4443</v>
      </c>
      <c r="E231" s="88">
        <v>1208</v>
      </c>
    </row>
    <row r="232" spans="2:5" ht="11.25" customHeight="1">
      <c r="B232" s="8">
        <v>220</v>
      </c>
      <c r="C232" s="9" t="s">
        <v>109</v>
      </c>
      <c r="D232" s="100">
        <v>2366</v>
      </c>
      <c r="E232" s="88">
        <v>930</v>
      </c>
    </row>
    <row r="233" spans="2:5" ht="11.25" customHeight="1">
      <c r="B233" s="8">
        <v>221</v>
      </c>
      <c r="C233" s="9" t="s">
        <v>148</v>
      </c>
      <c r="D233" s="100">
        <v>1358</v>
      </c>
      <c r="E233" s="88">
        <v>499</v>
      </c>
    </row>
    <row r="234" spans="2:5" ht="11.25" customHeight="1">
      <c r="B234" s="8">
        <v>222</v>
      </c>
      <c r="C234" s="9" t="s">
        <v>139</v>
      </c>
      <c r="D234" s="100">
        <v>1578</v>
      </c>
      <c r="E234" s="88">
        <v>591</v>
      </c>
    </row>
    <row r="235" spans="2:5" ht="11.25" customHeight="1">
      <c r="B235" s="8">
        <v>223</v>
      </c>
      <c r="C235" s="9" t="s">
        <v>122</v>
      </c>
      <c r="D235" s="100">
        <v>1980</v>
      </c>
      <c r="E235" s="88">
        <v>429</v>
      </c>
    </row>
    <row r="236" spans="2:5" ht="11.25" customHeight="1">
      <c r="B236" s="8">
        <v>224</v>
      </c>
      <c r="C236" s="9" t="s">
        <v>100</v>
      </c>
      <c r="D236" s="100">
        <v>1124</v>
      </c>
      <c r="E236" s="88">
        <v>365</v>
      </c>
    </row>
    <row r="237" spans="2:5" ht="11.25" customHeight="1">
      <c r="B237" s="8">
        <v>225</v>
      </c>
      <c r="C237" s="9" t="s">
        <v>133</v>
      </c>
      <c r="D237" s="100">
        <v>595</v>
      </c>
      <c r="E237" s="88">
        <v>210</v>
      </c>
    </row>
    <row r="238" spans="2:5" ht="11.25" customHeight="1">
      <c r="B238" s="8">
        <v>226</v>
      </c>
      <c r="C238" s="9" t="s">
        <v>200</v>
      </c>
      <c r="D238" s="100">
        <v>3387</v>
      </c>
      <c r="E238" s="88">
        <v>1597</v>
      </c>
    </row>
    <row r="239" spans="2:5" ht="11.25" customHeight="1">
      <c r="B239" s="8">
        <v>227</v>
      </c>
      <c r="C239" s="9" t="s">
        <v>84</v>
      </c>
      <c r="D239" s="100">
        <v>2975</v>
      </c>
      <c r="E239" s="88">
        <v>1080</v>
      </c>
    </row>
    <row r="240" spans="2:5" ht="11.25" customHeight="1">
      <c r="B240" s="8">
        <v>228</v>
      </c>
      <c r="C240" s="9" t="s">
        <v>131</v>
      </c>
      <c r="D240" s="100">
        <v>1625</v>
      </c>
      <c r="E240" s="88">
        <v>409</v>
      </c>
    </row>
    <row r="241" spans="2:5" ht="11.25" customHeight="1">
      <c r="B241" s="8">
        <v>229</v>
      </c>
      <c r="C241" s="9" t="s">
        <v>157</v>
      </c>
      <c r="D241" s="100">
        <v>13536</v>
      </c>
      <c r="E241" s="88">
        <v>4047</v>
      </c>
    </row>
    <row r="242" spans="2:5" ht="11.25" customHeight="1">
      <c r="B242" s="8">
        <v>230</v>
      </c>
      <c r="C242" s="9" t="s">
        <v>130</v>
      </c>
      <c r="D242" s="100">
        <v>744</v>
      </c>
      <c r="E242" s="88">
        <v>382</v>
      </c>
    </row>
    <row r="243" spans="2:5" ht="11.25" customHeight="1">
      <c r="B243" s="8">
        <v>231</v>
      </c>
      <c r="C243" s="9" t="s">
        <v>79</v>
      </c>
      <c r="D243" s="100">
        <v>4946</v>
      </c>
      <c r="E243" s="88">
        <v>1482</v>
      </c>
    </row>
    <row r="244" spans="2:5" ht="11.25" customHeight="1">
      <c r="B244" s="8">
        <v>232</v>
      </c>
      <c r="C244" s="9" t="s">
        <v>132</v>
      </c>
      <c r="D244" s="100">
        <v>677</v>
      </c>
      <c r="E244" s="88">
        <v>271</v>
      </c>
    </row>
    <row r="245" spans="2:5" ht="11.25" customHeight="1">
      <c r="B245" s="8">
        <v>233</v>
      </c>
      <c r="C245" s="9" t="s">
        <v>99</v>
      </c>
      <c r="D245" s="100">
        <v>10358</v>
      </c>
      <c r="E245" s="88">
        <v>3432</v>
      </c>
    </row>
    <row r="246" spans="2:5" ht="11.25" customHeight="1">
      <c r="B246" s="8">
        <v>234</v>
      </c>
      <c r="C246" s="9" t="s">
        <v>129</v>
      </c>
      <c r="D246" s="100">
        <v>3187</v>
      </c>
      <c r="E246" s="88">
        <v>1475</v>
      </c>
    </row>
    <row r="247" spans="2:5" ht="11.25" customHeight="1">
      <c r="B247" s="8">
        <v>235</v>
      </c>
      <c r="C247" s="9" t="s">
        <v>201</v>
      </c>
      <c r="D247" s="100">
        <v>7017</v>
      </c>
      <c r="E247" s="88">
        <v>1241</v>
      </c>
    </row>
    <row r="248" spans="2:5" ht="11.25" customHeight="1">
      <c r="B248" s="8">
        <v>236</v>
      </c>
      <c r="C248" s="9" t="s">
        <v>202</v>
      </c>
      <c r="D248" s="100">
        <v>3626</v>
      </c>
      <c r="E248" s="88">
        <v>1133</v>
      </c>
    </row>
    <row r="249" spans="2:5" ht="11.25" customHeight="1">
      <c r="B249" s="8">
        <v>237</v>
      </c>
      <c r="C249" s="9" t="s">
        <v>87</v>
      </c>
      <c r="D249" s="100">
        <v>1851</v>
      </c>
      <c r="E249" s="88">
        <v>586</v>
      </c>
    </row>
    <row r="250" spans="2:5" ht="11.25" customHeight="1">
      <c r="B250" s="8">
        <v>238</v>
      </c>
      <c r="C250" s="9" t="s">
        <v>91</v>
      </c>
      <c r="D250" s="100">
        <v>4453</v>
      </c>
      <c r="E250" s="88">
        <v>1174</v>
      </c>
    </row>
    <row r="251" spans="2:5" ht="11.25" customHeight="1">
      <c r="B251" s="8">
        <v>239</v>
      </c>
      <c r="C251" s="9" t="s">
        <v>78</v>
      </c>
      <c r="D251" s="100">
        <v>1114</v>
      </c>
      <c r="E251" s="88">
        <v>428</v>
      </c>
    </row>
    <row r="252" spans="2:5" ht="11.25" customHeight="1">
      <c r="B252" s="8">
        <v>240</v>
      </c>
      <c r="C252" s="9" t="s">
        <v>66</v>
      </c>
      <c r="D252" s="100">
        <v>1395</v>
      </c>
      <c r="E252" s="88">
        <v>483</v>
      </c>
    </row>
    <row r="253" spans="2:5" ht="11.25" customHeight="1">
      <c r="B253" s="8">
        <v>241</v>
      </c>
      <c r="C253" s="9" t="s">
        <v>169</v>
      </c>
      <c r="D253" s="100">
        <v>1999</v>
      </c>
      <c r="E253" s="88">
        <v>415</v>
      </c>
    </row>
    <row r="254" spans="2:5" ht="11.25" customHeight="1">
      <c r="B254" s="8">
        <v>242</v>
      </c>
      <c r="C254" s="9" t="s">
        <v>143</v>
      </c>
      <c r="D254" s="100">
        <v>4494</v>
      </c>
      <c r="E254" s="88">
        <v>1157</v>
      </c>
    </row>
    <row r="255" spans="2:5" ht="11.25" customHeight="1">
      <c r="B255" s="8">
        <v>243</v>
      </c>
      <c r="C255" s="9" t="s">
        <v>58</v>
      </c>
      <c r="D255" s="100">
        <v>1569</v>
      </c>
      <c r="E255" s="88">
        <v>547</v>
      </c>
    </row>
    <row r="256" spans="2:5" ht="11.25" customHeight="1">
      <c r="B256" s="8">
        <v>244</v>
      </c>
      <c r="C256" s="9" t="s">
        <v>64</v>
      </c>
      <c r="D256" s="100">
        <v>699</v>
      </c>
      <c r="E256" s="88">
        <v>286</v>
      </c>
    </row>
    <row r="257" spans="2:5" ht="11.25" customHeight="1">
      <c r="B257" s="8">
        <v>245</v>
      </c>
      <c r="C257" s="9" t="s">
        <v>96</v>
      </c>
      <c r="D257" s="100">
        <v>1406</v>
      </c>
      <c r="E257" s="88">
        <v>266</v>
      </c>
    </row>
    <row r="258" spans="2:5" ht="11.25" customHeight="1">
      <c r="B258" s="102">
        <v>246</v>
      </c>
      <c r="C258" s="103" t="s">
        <v>203</v>
      </c>
      <c r="D258" s="104">
        <v>1105</v>
      </c>
      <c r="E258" s="105">
        <v>248</v>
      </c>
    </row>
    <row r="259" spans="2:5" ht="11.25" customHeight="1">
      <c r="B259" s="47">
        <v>247</v>
      </c>
      <c r="C259" s="48" t="s">
        <v>103</v>
      </c>
      <c r="D259" s="90">
        <v>3438</v>
      </c>
      <c r="E259" s="91">
        <v>1256</v>
      </c>
    </row>
    <row r="260" spans="2:5" ht="11.25" customHeight="1">
      <c r="B260" s="8">
        <v>248</v>
      </c>
      <c r="C260" s="9" t="s">
        <v>170</v>
      </c>
      <c r="D260" s="49">
        <v>6384</v>
      </c>
      <c r="E260" s="88">
        <v>2799</v>
      </c>
    </row>
    <row r="261" spans="2:5" ht="11.25" customHeight="1">
      <c r="B261" s="8">
        <v>249</v>
      </c>
      <c r="C261" s="9" t="s">
        <v>65</v>
      </c>
      <c r="D261" s="49">
        <v>1394</v>
      </c>
      <c r="E261" s="88">
        <v>305</v>
      </c>
    </row>
    <row r="262" spans="2:5" ht="11.25" customHeight="1">
      <c r="B262" s="8">
        <v>250</v>
      </c>
      <c r="C262" s="9" t="s">
        <v>136</v>
      </c>
      <c r="D262" s="49">
        <v>1024</v>
      </c>
      <c r="E262" s="88">
        <v>283</v>
      </c>
    </row>
    <row r="263" spans="2:5" ht="11.25" customHeight="1">
      <c r="B263" s="8">
        <v>251</v>
      </c>
      <c r="C263" s="9" t="s">
        <v>180</v>
      </c>
      <c r="D263" s="49">
        <v>5548</v>
      </c>
      <c r="E263" s="88">
        <v>2392</v>
      </c>
    </row>
    <row r="264" spans="2:5" ht="11.25" customHeight="1">
      <c r="B264" s="8">
        <v>252</v>
      </c>
      <c r="C264" s="9" t="s">
        <v>75</v>
      </c>
      <c r="D264" s="49">
        <v>1708</v>
      </c>
      <c r="E264" s="88">
        <v>912</v>
      </c>
    </row>
    <row r="265" spans="2:5" ht="11.25" customHeight="1">
      <c r="B265" s="8">
        <v>253</v>
      </c>
      <c r="C265" s="9" t="s">
        <v>214</v>
      </c>
      <c r="D265" s="49">
        <v>3188</v>
      </c>
      <c r="E265" s="88">
        <v>1639</v>
      </c>
    </row>
    <row r="266" spans="2:5" ht="11.25" customHeight="1">
      <c r="B266" s="8">
        <v>254</v>
      </c>
      <c r="C266" s="9" t="s">
        <v>88</v>
      </c>
      <c r="D266" s="49">
        <v>2072</v>
      </c>
      <c r="E266" s="88">
        <v>759</v>
      </c>
    </row>
    <row r="267" spans="2:5" ht="11.25" customHeight="1">
      <c r="B267" s="8">
        <v>255</v>
      </c>
      <c r="C267" s="9" t="s">
        <v>192</v>
      </c>
      <c r="D267" s="49">
        <v>7147</v>
      </c>
      <c r="E267" s="88">
        <v>2913</v>
      </c>
    </row>
    <row r="268" spans="2:5" ht="11.25" customHeight="1">
      <c r="B268" s="8">
        <v>256</v>
      </c>
      <c r="C268" s="9" t="s">
        <v>94</v>
      </c>
      <c r="D268" s="49">
        <v>6838</v>
      </c>
      <c r="E268" s="88">
        <v>3516</v>
      </c>
    </row>
    <row r="269" spans="2:5" ht="11.25" customHeight="1">
      <c r="B269" s="8">
        <v>257</v>
      </c>
      <c r="C269" s="9" t="s">
        <v>184</v>
      </c>
      <c r="D269" s="49">
        <v>2497</v>
      </c>
      <c r="E269" s="88">
        <v>712</v>
      </c>
    </row>
    <row r="270" spans="2:5" ht="11.25" customHeight="1">
      <c r="B270" s="8">
        <v>258</v>
      </c>
      <c r="C270" s="9" t="s">
        <v>61</v>
      </c>
      <c r="D270" s="49">
        <v>3764</v>
      </c>
      <c r="E270" s="88">
        <v>2504</v>
      </c>
    </row>
    <row r="271" spans="2:5" ht="11.25" customHeight="1">
      <c r="B271" s="8">
        <v>259</v>
      </c>
      <c r="C271" s="9" t="s">
        <v>149</v>
      </c>
      <c r="D271" s="49">
        <v>4700</v>
      </c>
      <c r="E271" s="88">
        <v>1884</v>
      </c>
    </row>
    <row r="272" spans="2:5" ht="11.25" customHeight="1">
      <c r="B272" s="8">
        <v>260</v>
      </c>
      <c r="C272" s="9" t="s">
        <v>152</v>
      </c>
      <c r="D272" s="49">
        <v>1606</v>
      </c>
      <c r="E272" s="88">
        <v>595</v>
      </c>
    </row>
    <row r="273" spans="2:5" ht="11.25" customHeight="1">
      <c r="B273" s="8">
        <v>261</v>
      </c>
      <c r="C273" s="9" t="s">
        <v>153</v>
      </c>
      <c r="D273" s="49">
        <v>997</v>
      </c>
      <c r="E273" s="88">
        <v>332</v>
      </c>
    </row>
    <row r="274" spans="2:5" ht="11.25" customHeight="1">
      <c r="B274" s="8">
        <v>262</v>
      </c>
      <c r="C274" s="9" t="s">
        <v>164</v>
      </c>
      <c r="D274" s="49">
        <v>4105</v>
      </c>
      <c r="E274" s="88">
        <v>2388</v>
      </c>
    </row>
    <row r="275" spans="2:5" ht="11.25" customHeight="1">
      <c r="B275" s="8">
        <v>263</v>
      </c>
      <c r="C275" s="9" t="s">
        <v>215</v>
      </c>
      <c r="D275" s="49">
        <v>4859</v>
      </c>
      <c r="E275" s="88">
        <v>2435</v>
      </c>
    </row>
    <row r="276" spans="2:5" ht="11.25" customHeight="1">
      <c r="B276" s="8">
        <v>264</v>
      </c>
      <c r="C276" s="9" t="s">
        <v>138</v>
      </c>
      <c r="D276" s="49">
        <v>910</v>
      </c>
      <c r="E276" s="88">
        <v>227</v>
      </c>
    </row>
    <row r="277" spans="2:5" ht="11.25" customHeight="1">
      <c r="B277" s="8">
        <v>265</v>
      </c>
      <c r="C277" s="9" t="s">
        <v>107</v>
      </c>
      <c r="D277" s="49">
        <v>1691</v>
      </c>
      <c r="E277" s="88">
        <v>477</v>
      </c>
    </row>
    <row r="278" spans="2:5" ht="11.25" customHeight="1">
      <c r="B278" s="8">
        <v>266</v>
      </c>
      <c r="C278" s="9" t="s">
        <v>137</v>
      </c>
      <c r="D278" s="49">
        <v>2052</v>
      </c>
      <c r="E278" s="88">
        <v>907</v>
      </c>
    </row>
    <row r="279" spans="2:5" ht="11.25" customHeight="1">
      <c r="B279" s="8">
        <v>267</v>
      </c>
      <c r="C279" s="9" t="s">
        <v>83</v>
      </c>
      <c r="D279" s="49">
        <v>5478</v>
      </c>
      <c r="E279" s="88">
        <v>2336</v>
      </c>
    </row>
    <row r="280" spans="2:5" ht="11.25" customHeight="1">
      <c r="B280" s="8">
        <v>268</v>
      </c>
      <c r="C280" s="9" t="s">
        <v>151</v>
      </c>
      <c r="D280" s="49">
        <v>602</v>
      </c>
      <c r="E280" s="88">
        <v>225</v>
      </c>
    </row>
    <row r="281" spans="2:5" ht="11.25" customHeight="1">
      <c r="B281" s="8">
        <v>269</v>
      </c>
      <c r="C281" s="9" t="s">
        <v>150</v>
      </c>
      <c r="D281" s="49">
        <v>1095</v>
      </c>
      <c r="E281" s="88">
        <v>357</v>
      </c>
    </row>
    <row r="282" spans="2:5" ht="11.25" customHeight="1">
      <c r="B282" s="8">
        <v>270</v>
      </c>
      <c r="C282" s="9" t="s">
        <v>141</v>
      </c>
      <c r="D282" s="49">
        <v>1272</v>
      </c>
      <c r="E282" s="88">
        <v>487</v>
      </c>
    </row>
    <row r="283" spans="2:5" ht="11.25" customHeight="1">
      <c r="B283" s="8">
        <v>271</v>
      </c>
      <c r="C283" s="9" t="s">
        <v>135</v>
      </c>
      <c r="D283" s="49">
        <v>2651</v>
      </c>
      <c r="E283" s="88">
        <v>1217</v>
      </c>
    </row>
    <row r="284" spans="2:5" ht="11.25" customHeight="1">
      <c r="B284" s="8">
        <v>272</v>
      </c>
      <c r="C284" s="9" t="s">
        <v>216</v>
      </c>
      <c r="D284" s="49">
        <v>998</v>
      </c>
      <c r="E284" s="88">
        <v>347</v>
      </c>
    </row>
    <row r="285" spans="2:5" ht="11.25" customHeight="1">
      <c r="B285" s="8">
        <v>273</v>
      </c>
      <c r="C285" s="9" t="s">
        <v>197</v>
      </c>
      <c r="D285" s="49">
        <v>1645</v>
      </c>
      <c r="E285" s="88">
        <v>820</v>
      </c>
    </row>
    <row r="286" spans="2:5" ht="11.25" customHeight="1">
      <c r="B286" s="8">
        <v>274</v>
      </c>
      <c r="C286" s="9" t="s">
        <v>168</v>
      </c>
      <c r="D286" s="49">
        <v>1000</v>
      </c>
      <c r="E286" s="88">
        <v>384</v>
      </c>
    </row>
    <row r="287" spans="2:5" ht="11.25" customHeight="1">
      <c r="B287" s="8">
        <v>275</v>
      </c>
      <c r="C287" s="9" t="s">
        <v>183</v>
      </c>
      <c r="D287" s="49">
        <v>1533</v>
      </c>
      <c r="E287" s="88">
        <v>1029</v>
      </c>
    </row>
    <row r="288" spans="2:5" ht="11.25" customHeight="1">
      <c r="B288" s="8">
        <v>276</v>
      </c>
      <c r="C288" s="9" t="s">
        <v>124</v>
      </c>
      <c r="D288" s="49">
        <v>2295</v>
      </c>
      <c r="E288" s="88">
        <v>1129</v>
      </c>
    </row>
    <row r="289" spans="2:5" ht="11.25" customHeight="1">
      <c r="B289" s="8">
        <v>277</v>
      </c>
      <c r="C289" s="9" t="s">
        <v>167</v>
      </c>
      <c r="D289" s="49">
        <v>983</v>
      </c>
      <c r="E289" s="88">
        <v>249</v>
      </c>
    </row>
    <row r="290" spans="2:5" ht="11.25" customHeight="1">
      <c r="B290" s="8">
        <v>278</v>
      </c>
      <c r="C290" s="9" t="s">
        <v>172</v>
      </c>
      <c r="D290" s="49">
        <v>963</v>
      </c>
      <c r="E290" s="88">
        <v>397</v>
      </c>
    </row>
    <row r="291" spans="2:5" ht="11.25" customHeight="1">
      <c r="B291" s="8">
        <v>279</v>
      </c>
      <c r="C291" s="9" t="s">
        <v>144</v>
      </c>
      <c r="D291" s="49">
        <v>504</v>
      </c>
      <c r="E291" s="88">
        <v>151</v>
      </c>
    </row>
    <row r="292" spans="2:5" ht="11.25" customHeight="1">
      <c r="B292" s="8">
        <v>280</v>
      </c>
      <c r="C292" s="9" t="s">
        <v>173</v>
      </c>
      <c r="D292" s="49">
        <v>2863</v>
      </c>
      <c r="E292" s="88">
        <v>1466</v>
      </c>
    </row>
    <row r="293" spans="2:5" ht="11.25" customHeight="1">
      <c r="B293" s="8">
        <v>281</v>
      </c>
      <c r="C293" s="9" t="s">
        <v>189</v>
      </c>
      <c r="D293" s="49">
        <v>1454</v>
      </c>
      <c r="E293" s="88">
        <v>595</v>
      </c>
    </row>
    <row r="294" spans="2:5" ht="11.25" customHeight="1">
      <c r="B294" s="8">
        <v>282</v>
      </c>
      <c r="C294" s="9" t="s">
        <v>146</v>
      </c>
      <c r="D294" s="49">
        <v>349</v>
      </c>
      <c r="E294" s="88">
        <v>143</v>
      </c>
    </row>
    <row r="295" spans="2:5" ht="11.25" customHeight="1">
      <c r="B295" s="8">
        <v>283</v>
      </c>
      <c r="C295" s="9" t="s">
        <v>145</v>
      </c>
      <c r="D295" s="49">
        <v>267</v>
      </c>
      <c r="E295" s="88">
        <v>111</v>
      </c>
    </row>
    <row r="296" spans="2:5" ht="11.25" customHeight="1">
      <c r="B296" s="8">
        <v>284</v>
      </c>
      <c r="C296" s="9" t="s">
        <v>101</v>
      </c>
      <c r="D296" s="49">
        <v>1311</v>
      </c>
      <c r="E296" s="88">
        <v>702</v>
      </c>
    </row>
    <row r="297" spans="2:5" ht="11.25" customHeight="1">
      <c r="B297" s="8">
        <v>285</v>
      </c>
      <c r="C297" s="9" t="s">
        <v>125</v>
      </c>
      <c r="D297" s="49">
        <v>2308</v>
      </c>
      <c r="E297" s="88">
        <v>977</v>
      </c>
    </row>
    <row r="298" spans="2:5" ht="11.25" customHeight="1">
      <c r="B298" s="8">
        <v>286</v>
      </c>
      <c r="C298" s="9" t="s">
        <v>52</v>
      </c>
      <c r="D298" s="49">
        <v>940</v>
      </c>
      <c r="E298" s="88">
        <v>313</v>
      </c>
    </row>
    <row r="299" spans="2:5" ht="11.25" customHeight="1">
      <c r="B299" s="8">
        <v>287</v>
      </c>
      <c r="C299" s="9" t="s">
        <v>86</v>
      </c>
      <c r="D299" s="49">
        <v>1214</v>
      </c>
      <c r="E299" s="88">
        <v>682</v>
      </c>
    </row>
    <row r="300" spans="2:5" ht="11.25" customHeight="1">
      <c r="B300" s="8">
        <v>288</v>
      </c>
      <c r="C300" s="9" t="s">
        <v>160</v>
      </c>
      <c r="D300" s="49">
        <v>5241</v>
      </c>
      <c r="E300" s="88">
        <v>3708</v>
      </c>
    </row>
    <row r="301" spans="2:5" ht="11.25" customHeight="1">
      <c r="B301" s="8">
        <v>289</v>
      </c>
      <c r="C301" s="9" t="s">
        <v>60</v>
      </c>
      <c r="D301" s="49">
        <v>4373</v>
      </c>
      <c r="E301" s="88">
        <v>1636</v>
      </c>
    </row>
    <row r="302" spans="2:5" ht="11.25" customHeight="1">
      <c r="B302" s="8">
        <v>290</v>
      </c>
      <c r="C302" s="9" t="s">
        <v>147</v>
      </c>
      <c r="D302" s="49">
        <v>552</v>
      </c>
      <c r="E302" s="88">
        <v>164</v>
      </c>
    </row>
    <row r="303" spans="2:5" ht="11.25" customHeight="1">
      <c r="B303" s="8">
        <v>291</v>
      </c>
      <c r="C303" s="9" t="s">
        <v>182</v>
      </c>
      <c r="D303" s="49">
        <v>1225</v>
      </c>
      <c r="E303" s="88">
        <v>290</v>
      </c>
    </row>
    <row r="304" spans="2:5" ht="11.25" customHeight="1">
      <c r="B304" s="93">
        <v>292</v>
      </c>
      <c r="C304" s="9" t="s">
        <v>218</v>
      </c>
      <c r="D304" s="49">
        <v>8725</v>
      </c>
      <c r="E304" s="88">
        <v>4470</v>
      </c>
    </row>
    <row r="305" spans="2:5" ht="11.25" customHeight="1">
      <c r="B305" s="93">
        <v>293</v>
      </c>
      <c r="C305" s="9" t="s">
        <v>219</v>
      </c>
      <c r="D305" s="49">
        <v>2441</v>
      </c>
      <c r="E305" s="88">
        <v>1188</v>
      </c>
    </row>
    <row r="306" spans="2:5" ht="11.25" customHeight="1">
      <c r="B306" s="93">
        <v>294</v>
      </c>
      <c r="C306" s="9" t="s">
        <v>142</v>
      </c>
      <c r="D306" s="49">
        <v>2469</v>
      </c>
      <c r="E306" s="88">
        <v>959</v>
      </c>
    </row>
    <row r="307" spans="2:5" ht="11.25" customHeight="1">
      <c r="B307" s="93">
        <v>295</v>
      </c>
      <c r="C307" s="9" t="s">
        <v>165</v>
      </c>
      <c r="D307" s="49">
        <v>1487</v>
      </c>
      <c r="E307" s="88">
        <v>893</v>
      </c>
    </row>
    <row r="308" spans="2:5" ht="11.25" customHeight="1">
      <c r="B308" s="93">
        <v>296</v>
      </c>
      <c r="C308" s="9" t="s">
        <v>105</v>
      </c>
      <c r="D308" s="49">
        <v>4226</v>
      </c>
      <c r="E308" s="88">
        <v>2439</v>
      </c>
    </row>
    <row r="309" spans="2:5" ht="11.25" customHeight="1">
      <c r="B309" s="93">
        <v>297</v>
      </c>
      <c r="C309" s="9" t="s">
        <v>220</v>
      </c>
      <c r="D309" s="49">
        <v>605</v>
      </c>
      <c r="E309" s="88">
        <v>220</v>
      </c>
    </row>
    <row r="310" spans="2:5" ht="11.25" customHeight="1">
      <c r="B310" s="93">
        <v>298</v>
      </c>
      <c r="C310" s="9" t="s">
        <v>177</v>
      </c>
      <c r="D310" s="49">
        <v>735</v>
      </c>
      <c r="E310" s="88">
        <v>305</v>
      </c>
    </row>
    <row r="311" spans="2:5" ht="11.25" customHeight="1">
      <c r="B311" s="93">
        <v>299</v>
      </c>
      <c r="C311" s="9" t="s">
        <v>106</v>
      </c>
      <c r="D311" s="49">
        <v>1049</v>
      </c>
      <c r="E311" s="88">
        <v>401</v>
      </c>
    </row>
    <row r="312" spans="2:5" ht="11.25" customHeight="1">
      <c r="B312" s="93">
        <v>300</v>
      </c>
      <c r="C312" s="9" t="s">
        <v>198</v>
      </c>
      <c r="D312" s="49">
        <v>1449</v>
      </c>
      <c r="E312" s="88">
        <v>792</v>
      </c>
    </row>
    <row r="313" spans="2:5" ht="11.25" customHeight="1">
      <c r="B313" s="93">
        <v>301</v>
      </c>
      <c r="C313" s="9" t="s">
        <v>91</v>
      </c>
      <c r="D313" s="49">
        <v>3451</v>
      </c>
      <c r="E313" s="88">
        <v>1109</v>
      </c>
    </row>
    <row r="314" spans="2:5" ht="11.25" customHeight="1">
      <c r="B314" s="93">
        <v>302</v>
      </c>
      <c r="C314" s="9" t="s">
        <v>221</v>
      </c>
      <c r="D314" s="49">
        <v>2018</v>
      </c>
      <c r="E314" s="88">
        <v>931</v>
      </c>
    </row>
    <row r="315" spans="2:5" ht="11.25" customHeight="1">
      <c r="B315" s="93">
        <v>303</v>
      </c>
      <c r="C315" s="9" t="s">
        <v>108</v>
      </c>
      <c r="D315" s="49">
        <v>732</v>
      </c>
      <c r="E315" s="88">
        <v>346</v>
      </c>
    </row>
    <row r="316" spans="2:5" ht="11.25" customHeight="1">
      <c r="B316" s="93">
        <v>304</v>
      </c>
      <c r="C316" s="9" t="s">
        <v>97</v>
      </c>
      <c r="D316" s="49">
        <v>1537</v>
      </c>
      <c r="E316" s="88">
        <v>698</v>
      </c>
    </row>
    <row r="317" spans="2:5" ht="11.25" customHeight="1">
      <c r="B317" s="93">
        <v>305</v>
      </c>
      <c r="C317" s="9" t="s">
        <v>222</v>
      </c>
      <c r="D317" s="49">
        <v>1119</v>
      </c>
      <c r="E317" s="88">
        <v>373</v>
      </c>
    </row>
    <row r="318" spans="2:5" ht="11.25" customHeight="1">
      <c r="B318" s="93">
        <v>306</v>
      </c>
      <c r="C318" s="9" t="s">
        <v>200</v>
      </c>
      <c r="D318" s="49">
        <v>1845</v>
      </c>
      <c r="E318" s="88">
        <v>923</v>
      </c>
    </row>
    <row r="319" spans="2:5" ht="11.25" customHeight="1">
      <c r="B319" s="93">
        <v>307</v>
      </c>
      <c r="C319" s="9" t="s">
        <v>90</v>
      </c>
      <c r="D319" s="49">
        <v>1958</v>
      </c>
      <c r="E319" s="88">
        <v>906</v>
      </c>
    </row>
    <row r="320" spans="2:5" ht="11.25" customHeight="1">
      <c r="B320" s="93">
        <v>308</v>
      </c>
      <c r="C320" s="9" t="s">
        <v>74</v>
      </c>
      <c r="D320" s="49">
        <v>1218</v>
      </c>
      <c r="E320" s="88">
        <v>456</v>
      </c>
    </row>
    <row r="321" spans="2:5" ht="11.25" customHeight="1">
      <c r="B321" s="93">
        <v>309</v>
      </c>
      <c r="C321" s="9" t="s">
        <v>93</v>
      </c>
      <c r="D321" s="49">
        <v>1314</v>
      </c>
      <c r="E321" s="88">
        <v>458</v>
      </c>
    </row>
    <row r="322" spans="2:5" ht="11.25" customHeight="1">
      <c r="B322" s="93">
        <v>310</v>
      </c>
      <c r="C322" s="9" t="s">
        <v>71</v>
      </c>
      <c r="D322" s="49">
        <v>4971</v>
      </c>
      <c r="E322" s="88">
        <v>1668</v>
      </c>
    </row>
    <row r="323" spans="2:5" ht="11.25" customHeight="1">
      <c r="B323" s="93">
        <v>311</v>
      </c>
      <c r="C323" s="9" t="s">
        <v>58</v>
      </c>
      <c r="D323" s="49">
        <v>1348</v>
      </c>
      <c r="E323" s="88">
        <v>533</v>
      </c>
    </row>
    <row r="324" spans="2:5" ht="11.25" customHeight="1">
      <c r="B324" s="93">
        <v>312</v>
      </c>
      <c r="C324" s="9" t="s">
        <v>223</v>
      </c>
      <c r="D324" s="49">
        <v>1082</v>
      </c>
      <c r="E324" s="88">
        <v>652</v>
      </c>
    </row>
    <row r="325" spans="2:5" ht="11.25" customHeight="1">
      <c r="B325" s="93">
        <v>313</v>
      </c>
      <c r="C325" s="9" t="s">
        <v>109</v>
      </c>
      <c r="D325" s="49">
        <v>1346</v>
      </c>
      <c r="E325" s="88">
        <v>638</v>
      </c>
    </row>
    <row r="326" spans="2:5" ht="11.25" customHeight="1">
      <c r="B326" s="93">
        <v>314</v>
      </c>
      <c r="C326" s="9" t="s">
        <v>174</v>
      </c>
      <c r="D326" s="49">
        <v>1490</v>
      </c>
      <c r="E326" s="88">
        <v>517</v>
      </c>
    </row>
    <row r="327" spans="2:5" ht="11.25" customHeight="1">
      <c r="B327" s="93">
        <v>315</v>
      </c>
      <c r="C327" s="9" t="s">
        <v>79</v>
      </c>
      <c r="D327" s="49">
        <v>3123</v>
      </c>
      <c r="E327" s="88">
        <v>1150</v>
      </c>
    </row>
    <row r="328" spans="2:5" ht="11.25" customHeight="1">
      <c r="B328" s="93">
        <v>316</v>
      </c>
      <c r="C328" s="9" t="s">
        <v>171</v>
      </c>
      <c r="D328" s="49">
        <v>1210</v>
      </c>
      <c r="E328" s="88">
        <v>538</v>
      </c>
    </row>
    <row r="329" spans="2:5" ht="11.25" customHeight="1">
      <c r="B329" s="93">
        <v>317</v>
      </c>
      <c r="C329" s="9" t="s">
        <v>175</v>
      </c>
      <c r="D329" s="49">
        <v>1032</v>
      </c>
      <c r="E329" s="88">
        <v>366</v>
      </c>
    </row>
    <row r="330" spans="2:5" ht="11.25" customHeight="1">
      <c r="B330" s="93">
        <v>318</v>
      </c>
      <c r="C330" s="9" t="s">
        <v>67</v>
      </c>
      <c r="D330" s="49">
        <v>8417</v>
      </c>
      <c r="E330" s="88">
        <v>3440</v>
      </c>
    </row>
    <row r="331" spans="2:5" ht="11.25" customHeight="1">
      <c r="B331" s="93">
        <v>319</v>
      </c>
      <c r="C331" s="9" t="s">
        <v>95</v>
      </c>
      <c r="D331" s="49">
        <v>691</v>
      </c>
      <c r="E331" s="88">
        <v>215</v>
      </c>
    </row>
    <row r="332" spans="2:5" ht="11.25" customHeight="1">
      <c r="B332" s="93">
        <v>320</v>
      </c>
      <c r="C332" s="9" t="s">
        <v>193</v>
      </c>
      <c r="D332" s="49">
        <v>4836</v>
      </c>
      <c r="E332" s="88">
        <v>2156</v>
      </c>
    </row>
    <row r="333" spans="2:5" ht="11.25" customHeight="1">
      <c r="B333" s="93">
        <v>321</v>
      </c>
      <c r="C333" s="9" t="s">
        <v>76</v>
      </c>
      <c r="D333" s="49">
        <v>1973</v>
      </c>
      <c r="E333" s="88">
        <v>690</v>
      </c>
    </row>
    <row r="334" spans="2:5" ht="11.25" customHeight="1">
      <c r="B334" s="93">
        <v>322</v>
      </c>
      <c r="C334" s="9" t="s">
        <v>178</v>
      </c>
      <c r="D334" s="49">
        <v>17772</v>
      </c>
      <c r="E334" s="88">
        <v>4350</v>
      </c>
    </row>
    <row r="335" spans="2:5" ht="11.25" customHeight="1">
      <c r="B335" s="93">
        <v>323</v>
      </c>
      <c r="C335" s="9" t="s">
        <v>78</v>
      </c>
      <c r="D335" s="49">
        <v>922</v>
      </c>
      <c r="E335" s="88">
        <v>345</v>
      </c>
    </row>
    <row r="336" spans="2:5" ht="11.25" customHeight="1">
      <c r="B336" s="93">
        <v>324</v>
      </c>
      <c r="C336" s="9" t="s">
        <v>191</v>
      </c>
      <c r="D336" s="49">
        <v>1021</v>
      </c>
      <c r="E336" s="88">
        <v>414</v>
      </c>
    </row>
    <row r="337" spans="2:5" ht="11.25" customHeight="1">
      <c r="B337" s="93">
        <v>325</v>
      </c>
      <c r="C337" s="9" t="s">
        <v>158</v>
      </c>
      <c r="D337" s="49">
        <v>1441</v>
      </c>
      <c r="E337" s="88">
        <v>323</v>
      </c>
    </row>
    <row r="338" spans="2:5" ht="11.25" customHeight="1">
      <c r="B338" s="93">
        <v>326</v>
      </c>
      <c r="C338" s="9" t="s">
        <v>194</v>
      </c>
      <c r="D338" s="49">
        <v>5325</v>
      </c>
      <c r="E338" s="88">
        <v>2296</v>
      </c>
    </row>
    <row r="339" spans="2:5" ht="11.25" customHeight="1">
      <c r="B339" s="93">
        <v>327</v>
      </c>
      <c r="C339" s="9" t="s">
        <v>80</v>
      </c>
      <c r="D339" s="49">
        <v>7774</v>
      </c>
      <c r="E339" s="88">
        <v>3141</v>
      </c>
    </row>
    <row r="340" spans="2:5" ht="11.25" customHeight="1">
      <c r="B340" s="93">
        <v>328</v>
      </c>
      <c r="C340" s="9" t="s">
        <v>188</v>
      </c>
      <c r="D340" s="49">
        <v>2598</v>
      </c>
      <c r="E340" s="88">
        <v>899</v>
      </c>
    </row>
    <row r="341" spans="2:5" ht="11.25" customHeight="1">
      <c r="B341" s="93">
        <v>329</v>
      </c>
      <c r="C341" s="9" t="s">
        <v>155</v>
      </c>
      <c r="D341" s="49">
        <v>6435</v>
      </c>
      <c r="E341" s="88">
        <v>3097</v>
      </c>
    </row>
    <row r="342" spans="2:5" ht="11.25" customHeight="1">
      <c r="B342" s="93">
        <v>330</v>
      </c>
      <c r="C342" s="9" t="s">
        <v>87</v>
      </c>
      <c r="D342" s="49">
        <v>1434</v>
      </c>
      <c r="E342" s="88">
        <v>583</v>
      </c>
    </row>
    <row r="343" spans="2:5" ht="11.25" customHeight="1">
      <c r="B343" s="93">
        <v>331</v>
      </c>
      <c r="C343" s="9" t="s">
        <v>224</v>
      </c>
      <c r="D343" s="49">
        <v>1787</v>
      </c>
      <c r="E343" s="88">
        <v>540</v>
      </c>
    </row>
    <row r="344" spans="2:5" ht="11.25" customHeight="1">
      <c r="B344" s="93">
        <v>332</v>
      </c>
      <c r="C344" s="9" t="s">
        <v>132</v>
      </c>
      <c r="D344" s="49">
        <v>627</v>
      </c>
      <c r="E344" s="88">
        <v>151</v>
      </c>
    </row>
    <row r="345" spans="2:5" ht="11.25" customHeight="1">
      <c r="B345" s="93">
        <v>333</v>
      </c>
      <c r="C345" s="9" t="s">
        <v>225</v>
      </c>
      <c r="D345" s="49">
        <v>1014</v>
      </c>
      <c r="E345" s="88">
        <v>388</v>
      </c>
    </row>
    <row r="346" spans="2:5" ht="11.25" customHeight="1">
      <c r="B346" s="93">
        <v>334</v>
      </c>
      <c r="C346" s="9" t="s">
        <v>162</v>
      </c>
      <c r="D346" s="49">
        <v>7029</v>
      </c>
      <c r="E346" s="88">
        <v>2440</v>
      </c>
    </row>
    <row r="347" spans="2:5" ht="11.25" customHeight="1">
      <c r="B347" s="93">
        <v>335</v>
      </c>
      <c r="C347" s="9" t="s">
        <v>226</v>
      </c>
      <c r="D347" s="49">
        <v>3694</v>
      </c>
      <c r="E347" s="88">
        <v>1267</v>
      </c>
    </row>
    <row r="348" spans="2:5" ht="11.25" customHeight="1">
      <c r="B348" s="93">
        <v>336</v>
      </c>
      <c r="C348" s="9" t="s">
        <v>63</v>
      </c>
      <c r="D348" s="49">
        <v>1742</v>
      </c>
      <c r="E348" s="88">
        <v>555</v>
      </c>
    </row>
    <row r="349" spans="2:5" ht="11.25" customHeight="1">
      <c r="B349" s="93">
        <v>337</v>
      </c>
      <c r="C349" s="9" t="s">
        <v>130</v>
      </c>
      <c r="D349" s="49">
        <v>985</v>
      </c>
      <c r="E349" s="88">
        <v>273</v>
      </c>
    </row>
    <row r="350" spans="2:5" ht="11.25" customHeight="1">
      <c r="B350" s="93">
        <v>338</v>
      </c>
      <c r="C350" s="9" t="s">
        <v>227</v>
      </c>
      <c r="D350" s="49">
        <v>1800</v>
      </c>
      <c r="E350" s="88">
        <v>687</v>
      </c>
    </row>
    <row r="351" spans="2:5" ht="11.25" customHeight="1">
      <c r="B351" s="93">
        <v>339</v>
      </c>
      <c r="C351" s="9" t="s">
        <v>85</v>
      </c>
      <c r="D351" s="49">
        <v>4480</v>
      </c>
      <c r="E351" s="88">
        <v>1583</v>
      </c>
    </row>
    <row r="352" spans="2:5" ht="11.25" customHeight="1">
      <c r="B352" s="93">
        <v>340</v>
      </c>
      <c r="C352" s="9" t="s">
        <v>228</v>
      </c>
      <c r="D352" s="49">
        <v>1468</v>
      </c>
      <c r="E352" s="88">
        <v>750</v>
      </c>
    </row>
    <row r="353" spans="2:5" ht="11.25" customHeight="1">
      <c r="B353" s="93">
        <v>341</v>
      </c>
      <c r="C353" s="9" t="s">
        <v>84</v>
      </c>
      <c r="D353" s="49">
        <v>2222</v>
      </c>
      <c r="E353" s="88">
        <v>1090</v>
      </c>
    </row>
    <row r="354" spans="2:5" ht="11.25" customHeight="1">
      <c r="B354" s="93">
        <v>342</v>
      </c>
      <c r="C354" s="9" t="s">
        <v>133</v>
      </c>
      <c r="D354" s="49">
        <v>688</v>
      </c>
      <c r="E354" s="88">
        <v>314</v>
      </c>
    </row>
    <row r="355" spans="2:5" ht="11.25" customHeight="1">
      <c r="B355" s="93">
        <v>343</v>
      </c>
      <c r="C355" s="9" t="s">
        <v>104</v>
      </c>
      <c r="D355" s="49">
        <v>10589</v>
      </c>
      <c r="E355" s="88">
        <v>3494</v>
      </c>
    </row>
    <row r="356" spans="2:5" ht="11.25" customHeight="1">
      <c r="B356" s="93">
        <v>344</v>
      </c>
      <c r="C356" s="9" t="s">
        <v>126</v>
      </c>
      <c r="D356" s="49">
        <v>23816</v>
      </c>
      <c r="E356" s="88">
        <v>5263</v>
      </c>
    </row>
    <row r="357" spans="2:5" ht="11.25" customHeight="1">
      <c r="B357" s="93">
        <v>345</v>
      </c>
      <c r="C357" s="9" t="s">
        <v>229</v>
      </c>
      <c r="D357" s="49">
        <v>7260</v>
      </c>
      <c r="E357" s="88">
        <v>2259</v>
      </c>
    </row>
    <row r="358" spans="2:5" ht="11.25" customHeight="1">
      <c r="B358" s="93">
        <v>346</v>
      </c>
      <c r="C358" s="9" t="s">
        <v>134</v>
      </c>
      <c r="D358" s="49">
        <v>2238</v>
      </c>
      <c r="E358" s="88">
        <v>1232</v>
      </c>
    </row>
    <row r="359" spans="2:5" ht="11.25" customHeight="1">
      <c r="B359" s="93">
        <v>347</v>
      </c>
      <c r="C359" s="9" t="s">
        <v>166</v>
      </c>
      <c r="D359" s="49">
        <v>5737</v>
      </c>
      <c r="E359" s="88">
        <v>2503</v>
      </c>
    </row>
    <row r="360" spans="2:5" ht="11.25" customHeight="1">
      <c r="B360" s="93">
        <v>348</v>
      </c>
      <c r="C360" s="9" t="s">
        <v>161</v>
      </c>
      <c r="D360" s="49">
        <v>4301</v>
      </c>
      <c r="E360" s="88">
        <v>1727</v>
      </c>
    </row>
    <row r="361" spans="2:5" ht="11.25" customHeight="1">
      <c r="B361" s="93">
        <v>349</v>
      </c>
      <c r="C361" s="9" t="s">
        <v>66</v>
      </c>
      <c r="D361" s="49">
        <v>1939</v>
      </c>
      <c r="E361" s="88">
        <v>769</v>
      </c>
    </row>
    <row r="362" spans="2:5" ht="11.25" customHeight="1">
      <c r="B362" s="93">
        <v>350</v>
      </c>
      <c r="C362" s="9" t="s">
        <v>180</v>
      </c>
      <c r="D362" s="49">
        <v>7174</v>
      </c>
      <c r="E362" s="88">
        <v>2887</v>
      </c>
    </row>
    <row r="363" spans="2:5" ht="11.25" customHeight="1">
      <c r="B363" s="93">
        <v>351</v>
      </c>
      <c r="C363" s="9" t="s">
        <v>53</v>
      </c>
      <c r="D363" s="49">
        <v>6145</v>
      </c>
      <c r="E363" s="88">
        <v>2413</v>
      </c>
    </row>
    <row r="364" spans="2:5" ht="11.25" customHeight="1">
      <c r="B364" s="93">
        <v>352</v>
      </c>
      <c r="C364" s="9" t="s">
        <v>230</v>
      </c>
      <c r="D364" s="49">
        <v>2247</v>
      </c>
      <c r="E364" s="88">
        <v>660</v>
      </c>
    </row>
    <row r="365" spans="2:5" ht="11.25" customHeight="1">
      <c r="B365" s="93">
        <v>353</v>
      </c>
      <c r="C365" s="9" t="s">
        <v>176</v>
      </c>
      <c r="D365" s="49">
        <v>2953</v>
      </c>
      <c r="E365" s="88">
        <v>1253</v>
      </c>
    </row>
    <row r="366" spans="2:5" ht="11.25" customHeight="1">
      <c r="B366" s="93">
        <v>354</v>
      </c>
      <c r="C366" s="9" t="s">
        <v>143</v>
      </c>
      <c r="D366" s="49">
        <v>3659</v>
      </c>
      <c r="E366" s="88">
        <v>1028</v>
      </c>
    </row>
    <row r="367" spans="2:5" ht="11.25" customHeight="1">
      <c r="B367" s="93">
        <v>355</v>
      </c>
      <c r="C367" s="9" t="s">
        <v>185</v>
      </c>
      <c r="D367" s="49">
        <v>1046</v>
      </c>
      <c r="E367" s="88">
        <v>371</v>
      </c>
    </row>
    <row r="368" spans="2:5" ht="11.25" customHeight="1">
      <c r="B368" s="93">
        <v>356</v>
      </c>
      <c r="C368" s="9" t="s">
        <v>187</v>
      </c>
      <c r="D368" s="49">
        <v>1046</v>
      </c>
      <c r="E368" s="88">
        <v>324</v>
      </c>
    </row>
    <row r="369" spans="2:5" ht="11.25" customHeight="1">
      <c r="B369" s="93">
        <v>357</v>
      </c>
      <c r="C369" s="9" t="s">
        <v>103</v>
      </c>
      <c r="D369" s="49">
        <v>2100</v>
      </c>
      <c r="E369" s="88">
        <v>643</v>
      </c>
    </row>
    <row r="370" spans="2:5" ht="11.25" customHeight="1">
      <c r="B370" s="93">
        <v>358</v>
      </c>
      <c r="C370" s="9" t="s">
        <v>139</v>
      </c>
      <c r="D370" s="49">
        <v>1995</v>
      </c>
      <c r="E370" s="88">
        <v>525</v>
      </c>
    </row>
    <row r="371" spans="2:5" ht="11.25" customHeight="1">
      <c r="B371" s="93">
        <v>359</v>
      </c>
      <c r="C371" s="9" t="s">
        <v>65</v>
      </c>
      <c r="D371" s="49">
        <v>1280</v>
      </c>
      <c r="E371" s="88">
        <v>369</v>
      </c>
    </row>
    <row r="372" spans="2:5" ht="11.25" customHeight="1">
      <c r="B372" s="93">
        <v>360</v>
      </c>
      <c r="C372" s="9" t="s">
        <v>164</v>
      </c>
      <c r="D372" s="49">
        <v>4367</v>
      </c>
      <c r="E372" s="88">
        <v>1790</v>
      </c>
    </row>
    <row r="373" spans="2:5" ht="11.25" customHeight="1">
      <c r="B373" s="93">
        <v>361</v>
      </c>
      <c r="C373" s="9" t="s">
        <v>81</v>
      </c>
      <c r="D373" s="49">
        <v>6972</v>
      </c>
      <c r="E373" s="88">
        <v>2249</v>
      </c>
    </row>
    <row r="374" spans="2:5" ht="11.25" customHeight="1">
      <c r="B374" s="93">
        <v>362</v>
      </c>
      <c r="C374" s="9" t="s">
        <v>136</v>
      </c>
      <c r="D374" s="49">
        <v>959</v>
      </c>
      <c r="E374" s="88">
        <v>205</v>
      </c>
    </row>
    <row r="375" spans="2:5" ht="11.25" customHeight="1">
      <c r="B375" s="93">
        <v>363</v>
      </c>
      <c r="C375" s="9" t="s">
        <v>184</v>
      </c>
      <c r="D375" s="49">
        <v>1452</v>
      </c>
      <c r="E375" s="88">
        <v>362</v>
      </c>
    </row>
    <row r="376" spans="2:5" ht="11.25" customHeight="1">
      <c r="B376" s="93">
        <v>364</v>
      </c>
      <c r="C376" s="9" t="s">
        <v>231</v>
      </c>
      <c r="D376" s="49">
        <v>1434</v>
      </c>
      <c r="E376" s="88">
        <v>548</v>
      </c>
    </row>
    <row r="377" spans="2:5" ht="11.25" customHeight="1">
      <c r="B377" s="93">
        <v>365</v>
      </c>
      <c r="C377" s="9" t="s">
        <v>83</v>
      </c>
      <c r="D377" s="49">
        <v>4783</v>
      </c>
      <c r="E377" s="88">
        <v>1341</v>
      </c>
    </row>
    <row r="378" spans="2:5" ht="11.25" customHeight="1">
      <c r="B378" s="93">
        <v>366</v>
      </c>
      <c r="C378" s="9" t="s">
        <v>153</v>
      </c>
      <c r="D378" s="49">
        <v>1132</v>
      </c>
      <c r="E378" s="88">
        <v>289</v>
      </c>
    </row>
    <row r="379" spans="2:5" ht="11.25" customHeight="1">
      <c r="B379" s="93">
        <v>367</v>
      </c>
      <c r="C379" s="9" t="s">
        <v>172</v>
      </c>
      <c r="D379" s="49">
        <v>2482</v>
      </c>
      <c r="E379" s="88">
        <v>1010</v>
      </c>
    </row>
    <row r="380" spans="2:5" ht="11.25" customHeight="1">
      <c r="B380" s="93">
        <v>368</v>
      </c>
      <c r="C380" s="9" t="s">
        <v>152</v>
      </c>
      <c r="D380" s="49">
        <v>2109</v>
      </c>
      <c r="E380" s="88">
        <v>685</v>
      </c>
    </row>
    <row r="381" spans="2:5" ht="11.25" customHeight="1">
      <c r="B381" s="93">
        <v>369</v>
      </c>
      <c r="C381" s="9" t="s">
        <v>141</v>
      </c>
      <c r="D381" s="49">
        <v>1543</v>
      </c>
      <c r="E381" s="88">
        <v>688</v>
      </c>
    </row>
    <row r="382" spans="2:5" ht="11.25" customHeight="1">
      <c r="B382" s="93">
        <v>370</v>
      </c>
      <c r="C382" s="9" t="s">
        <v>170</v>
      </c>
      <c r="D382" s="49">
        <v>4622</v>
      </c>
      <c r="E382" s="88">
        <v>1476</v>
      </c>
    </row>
    <row r="383" spans="2:5" ht="11.25" customHeight="1">
      <c r="B383" s="93">
        <v>371</v>
      </c>
      <c r="C383" s="9" t="s">
        <v>107</v>
      </c>
      <c r="D383" s="49">
        <v>1755</v>
      </c>
      <c r="E383" s="88">
        <v>434</v>
      </c>
    </row>
    <row r="384" spans="2:5" ht="11.25" customHeight="1">
      <c r="B384" s="93">
        <v>372</v>
      </c>
      <c r="C384" s="9" t="s">
        <v>137</v>
      </c>
      <c r="D384" s="49">
        <v>2034</v>
      </c>
      <c r="E384" s="88">
        <v>750</v>
      </c>
    </row>
    <row r="385" spans="1:7" ht="11.25" customHeight="1">
      <c r="B385" s="93">
        <v>373</v>
      </c>
      <c r="C385" s="9" t="s">
        <v>150</v>
      </c>
      <c r="D385" s="49">
        <v>586</v>
      </c>
      <c r="E385" s="88">
        <v>193</v>
      </c>
    </row>
    <row r="386" spans="1:7" ht="11.25" customHeight="1">
      <c r="B386" s="62"/>
      <c r="C386" s="3" t="s">
        <v>46</v>
      </c>
      <c r="D386" s="7">
        <f>D13+D14+D15+D16+D17+D18+D19+D20+D21+D22+D23+D24+D25+D26+D27+D28+D29+D30+D31+D32+D33+D34+D35+D387+D36+D37+D38+D39+D40+D41+D42+D43+D44+D45+D46+D47+D48+D49+D50+D51+D52+D53+D54+D55+D57+D56+D58+D59+D60+D61+D62+D63+D64+D65+D66+D67+D68+D69+D70+D71+D72+D73+D74+D75+D76+D77+D78+D79+D80+D81+D82+D83+D84+D85+D86+D87+D88+D89+D90+D91+D92+D93+D94+D95+D96+D97+D98+D99+D100+D101+D102+D103+D104+D105+D106+D107+D108+D109+D110+D111+D112+D113+D114+D115+D116+D117+D118+D119+D120+D121+D122+D123+D124+D125+D126+D127+D128+D129+D130+D131+D132+D133+D134+D135+D136+D137+D138+D139+D140+D141+D142+D143+D144+D145+D146+D147+D148+D149+D150+D151+D152+D153+D154+D155+D156+D157+D158+D159+D160+D161+D162+D163+D164+D165+D166+D167+D168+D169+D170+D171+D172+D173+D174+D175+D176+D177+D178+D179+D180+D181+D182+D183+D184+D185+D186+D187+D188+D189+D190+D191+D192+D193+D194+D195+D196+D197+D198+D199+D200+D201+D202+D203+D204+D205+D206+D207+D208+D209+D210+D211+D212+D213+D214+D215+D216+D217+D218+D219+D220+D221+D222+D223+D224+D225+D226+D227+D228+D229+D230+D231+D232+D233+D234+D235+D236+D237+D238+D239+D240+D241+D242+D243+D244+D245+D246+D247+D248+D249+D250+D251+D252+D253+D254+D255+D256+D257+D258+D259+D260+D261+D262+D263+D264+D265+D266+D267+D268+D269+D270+D271+D272+D273+D274+D275+D276+D277+D278+D279+D280+D281+D282+D283+D284+D285+D286+D287+D288+D289+D290+D291+D292+D293+D294+D295+D296+D297+D298+D299+D300+D301+D302+D303+D304+D305+D306+D307+D308+D309+D310+D311+D312+D313+D314+D315+D316+D317+D318+D319+D320+D321+D322+D323+D324+D325+D326+D327+D328+D329+D330+D331+D332+D333+D334+D335+D336+D337+D338+D339+D340+D341+D342+D343+D344+D345+D346+D347+D348+D349+D350+D351+D352+D353+D354+D355+D356+D357+D358+D359+D360+D361+D362+D363+D364+D365+D366+D367+D368+D369+D370+D371+D372+D373+D374+D375+D376+D377+D378+D379+D380+D381+D382+D383+D384+D385</f>
        <v>1216638</v>
      </c>
      <c r="E386" s="89">
        <f>SUM(E259:E385)</f>
        <v>144806</v>
      </c>
    </row>
    <row r="387" spans="1:7" ht="11.25" customHeight="1">
      <c r="B387" s="10"/>
      <c r="C387" s="3"/>
      <c r="D387" s="7"/>
      <c r="E387" s="112">
        <f>SUM(E13:E385)</f>
        <v>440748</v>
      </c>
    </row>
    <row r="388" spans="1:7" ht="11.25" customHeight="1">
      <c r="B388" s="10"/>
      <c r="C388" s="3"/>
      <c r="D388" s="7"/>
    </row>
    <row r="389" spans="1:7" ht="11.25" customHeight="1">
      <c r="B389" s="10"/>
      <c r="C389" s="3"/>
      <c r="D389" s="7"/>
    </row>
    <row r="390" spans="1:7">
      <c r="B390" s="10"/>
    </row>
    <row r="391" spans="1:7" ht="18.5">
      <c r="B391" s="81" t="s">
        <v>54</v>
      </c>
      <c r="C391" s="82"/>
      <c r="D391" s="83"/>
    </row>
    <row r="392" spans="1:7">
      <c r="A392" s="63"/>
      <c r="B392" s="64" t="s">
        <v>57</v>
      </c>
      <c r="C392" s="84"/>
      <c r="D392" s="17"/>
    </row>
    <row r="393" spans="1:7">
      <c r="B393" s="16"/>
      <c r="C393" s="85" t="s">
        <v>208</v>
      </c>
      <c r="D393" s="18">
        <v>10359</v>
      </c>
    </row>
    <row r="394" spans="1:7">
      <c r="B394" s="16"/>
      <c r="C394" s="85" t="s">
        <v>209</v>
      </c>
      <c r="D394" s="35">
        <v>85287</v>
      </c>
    </row>
    <row r="395" spans="1:7">
      <c r="B395" s="16"/>
      <c r="C395" s="85" t="s">
        <v>210</v>
      </c>
      <c r="D395" s="18">
        <v>200296</v>
      </c>
      <c r="G395" s="87"/>
    </row>
    <row r="396" spans="1:7">
      <c r="B396" s="16"/>
      <c r="C396" s="85" t="s">
        <v>235</v>
      </c>
      <c r="D396" s="18">
        <v>144806</v>
      </c>
    </row>
    <row r="397" spans="1:7" ht="15" thickBot="1">
      <c r="B397" s="19"/>
      <c r="C397" s="20" t="s">
        <v>236</v>
      </c>
      <c r="D397" s="34">
        <f>SUM(D393:D396)</f>
        <v>440748</v>
      </c>
    </row>
    <row r="398" spans="1:7" ht="18.5">
      <c r="B398" s="33" t="s">
        <v>55</v>
      </c>
      <c r="C398" s="60"/>
      <c r="D398" s="61"/>
    </row>
    <row r="399" spans="1:7" ht="15" customHeight="1">
      <c r="A399" s="63"/>
      <c r="B399" s="65" t="s">
        <v>233</v>
      </c>
      <c r="C399" s="66"/>
      <c r="D399" s="61"/>
    </row>
    <row r="400" spans="1:7">
      <c r="B400" s="59"/>
      <c r="C400" s="25"/>
      <c r="D400" s="26"/>
    </row>
    <row r="401" spans="1:7">
      <c r="B401" s="24"/>
      <c r="C401" s="25" t="s">
        <v>211</v>
      </c>
      <c r="D401" s="27">
        <v>20741</v>
      </c>
    </row>
    <row r="402" spans="1:7">
      <c r="B402" s="24"/>
      <c r="C402" s="25" t="s">
        <v>212</v>
      </c>
      <c r="D402" s="28">
        <v>236219</v>
      </c>
    </row>
    <row r="403" spans="1:7">
      <c r="B403" s="24"/>
      <c r="C403" s="25" t="s">
        <v>213</v>
      </c>
      <c r="D403" s="27">
        <v>586730</v>
      </c>
      <c r="F403">
        <v>12240</v>
      </c>
      <c r="G403" s="87">
        <f>D401+D402+D403+F403</f>
        <v>855930</v>
      </c>
    </row>
    <row r="404" spans="1:7">
      <c r="B404" s="24"/>
      <c r="C404" s="25" t="s">
        <v>237</v>
      </c>
      <c r="D404" s="27">
        <v>372948</v>
      </c>
    </row>
    <row r="405" spans="1:7">
      <c r="B405" s="24"/>
      <c r="C405" s="25" t="s">
        <v>238</v>
      </c>
      <c r="D405" s="29">
        <f>SUM(D401:D404)</f>
        <v>1216638</v>
      </c>
    </row>
    <row r="406" spans="1:7" ht="15" thickBot="1">
      <c r="B406" s="24"/>
      <c r="C406" s="30"/>
      <c r="D406" s="31"/>
    </row>
    <row r="407" spans="1:7" ht="18.5">
      <c r="B407" s="37" t="s">
        <v>111</v>
      </c>
      <c r="C407" s="57"/>
      <c r="D407" s="58"/>
    </row>
    <row r="408" spans="1:7">
      <c r="A408" s="63"/>
      <c r="B408" s="67" t="s">
        <v>112</v>
      </c>
      <c r="C408" s="68"/>
      <c r="D408" s="58"/>
    </row>
    <row r="409" spans="1:7">
      <c r="A409" s="63"/>
      <c r="B409" s="67" t="s">
        <v>113</v>
      </c>
      <c r="C409" s="68"/>
      <c r="D409" s="40"/>
    </row>
    <row r="410" spans="1:7">
      <c r="B410" s="38"/>
      <c r="C410" s="39" t="s">
        <v>204</v>
      </c>
      <c r="D410" s="41">
        <v>77413149</v>
      </c>
    </row>
    <row r="411" spans="1:7">
      <c r="B411" s="38"/>
      <c r="C411" s="39" t="s">
        <v>205</v>
      </c>
      <c r="D411" s="41">
        <v>41170434</v>
      </c>
    </row>
    <row r="412" spans="1:7">
      <c r="B412" s="38"/>
      <c r="C412" s="39" t="s">
        <v>206</v>
      </c>
      <c r="D412" s="42">
        <v>35104670</v>
      </c>
    </row>
    <row r="413" spans="1:7">
      <c r="B413" s="38"/>
      <c r="C413" s="39" t="s">
        <v>207</v>
      </c>
      <c r="D413" s="43">
        <f>SUM(D410:D412)</f>
        <v>153688253</v>
      </c>
    </row>
    <row r="414" spans="1:7" ht="18.5">
      <c r="B414" s="75" t="s">
        <v>111</v>
      </c>
      <c r="C414" s="76"/>
      <c r="D414" s="77"/>
    </row>
    <row r="415" spans="1:7">
      <c r="A415" s="63"/>
      <c r="B415" s="67" t="s">
        <v>112</v>
      </c>
      <c r="C415" s="68"/>
      <c r="D415" s="58"/>
    </row>
    <row r="416" spans="1:7">
      <c r="A416" s="63"/>
      <c r="B416" s="67" t="s">
        <v>113</v>
      </c>
      <c r="C416" s="68"/>
      <c r="D416" s="40"/>
    </row>
    <row r="417" spans="1:7">
      <c r="B417" s="38"/>
      <c r="C417" s="39" t="s">
        <v>114</v>
      </c>
      <c r="D417" s="41">
        <v>2382137</v>
      </c>
    </row>
    <row r="418" spans="1:7">
      <c r="B418" s="38"/>
      <c r="C418" s="39" t="s">
        <v>115</v>
      </c>
      <c r="D418" s="41">
        <v>47709334</v>
      </c>
    </row>
    <row r="419" spans="1:7">
      <c r="B419" s="38"/>
      <c r="C419" s="39" t="s">
        <v>116</v>
      </c>
      <c r="D419" s="41">
        <v>17987200</v>
      </c>
    </row>
    <row r="420" spans="1:7">
      <c r="B420" s="38"/>
      <c r="C420" s="39" t="s">
        <v>117</v>
      </c>
      <c r="D420" s="42">
        <v>15417600</v>
      </c>
    </row>
    <row r="421" spans="1:7">
      <c r="B421" s="38"/>
      <c r="C421" s="39" t="s">
        <v>118</v>
      </c>
      <c r="D421" s="43">
        <f>SUM(D417:D420)</f>
        <v>83496271</v>
      </c>
    </row>
    <row r="422" spans="1:7">
      <c r="B422" s="78"/>
      <c r="C422" s="79"/>
      <c r="D422" s="80"/>
    </row>
    <row r="423" spans="1:7" ht="18.5">
      <c r="B423" s="70" t="s">
        <v>111</v>
      </c>
      <c r="C423" s="71"/>
      <c r="D423" s="72"/>
    </row>
    <row r="424" spans="1:7">
      <c r="A424" s="63"/>
      <c r="B424" s="69" t="s">
        <v>112</v>
      </c>
      <c r="C424" s="73"/>
      <c r="D424" s="56"/>
    </row>
    <row r="425" spans="1:7">
      <c r="A425" s="63"/>
      <c r="B425" s="69" t="s">
        <v>113</v>
      </c>
      <c r="C425" s="73"/>
      <c r="D425" s="51"/>
      <c r="F425">
        <v>4545658</v>
      </c>
      <c r="G425" s="86">
        <f>D413+D421+F425</f>
        <v>241730182</v>
      </c>
    </row>
    <row r="426" spans="1:7">
      <c r="B426" s="50"/>
      <c r="C426" s="39" t="s">
        <v>239</v>
      </c>
      <c r="D426" s="41">
        <v>46921872</v>
      </c>
    </row>
    <row r="427" spans="1:7">
      <c r="B427" s="50"/>
      <c r="C427" s="39" t="s">
        <v>240</v>
      </c>
      <c r="D427" s="41">
        <v>26724230</v>
      </c>
    </row>
    <row r="428" spans="1:7">
      <c r="B428" s="50"/>
      <c r="C428" s="39" t="s">
        <v>241</v>
      </c>
      <c r="D428" s="42">
        <v>23214030</v>
      </c>
    </row>
    <row r="429" spans="1:7">
      <c r="B429" s="50"/>
      <c r="C429" s="74" t="s">
        <v>242</v>
      </c>
      <c r="D429" s="52">
        <f>SUM(D426:D428)</f>
        <v>96860132</v>
      </c>
    </row>
    <row r="430" spans="1:7" ht="15" thickBot="1">
      <c r="B430" s="50"/>
      <c r="C430" s="54"/>
      <c r="D430" s="55"/>
    </row>
    <row r="431" spans="1:7" ht="15" thickBot="1">
      <c r="B431" s="53"/>
      <c r="C431" s="44" t="s">
        <v>119</v>
      </c>
      <c r="D431" s="45">
        <f>D413+D421+D429</f>
        <v>334044656</v>
      </c>
    </row>
  </sheetData>
  <mergeCells count="5">
    <mergeCell ref="B1:D1"/>
    <mergeCell ref="B2:D2"/>
    <mergeCell ref="B3:D3"/>
    <mergeCell ref="B6:D6"/>
    <mergeCell ref="B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CV2 08</cp:lastModifiedBy>
  <cp:lastPrinted>2024-11-11T02:59:08Z</cp:lastPrinted>
  <dcterms:created xsi:type="dcterms:W3CDTF">2024-09-03T04:07:51Z</dcterms:created>
  <dcterms:modified xsi:type="dcterms:W3CDTF">2026-10-11T17:45:13Z</dcterms:modified>
</cp:coreProperties>
</file>